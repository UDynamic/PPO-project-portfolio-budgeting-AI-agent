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riar\Desktop\"/>
    </mc:Choice>
  </mc:AlternateContent>
  <xr:revisionPtr revIDLastSave="0" documentId="13_ncr:1_{78270E60-ED29-44A6-AB45-4F609E85A301}" xr6:coauthVersionLast="47" xr6:coauthVersionMax="47" xr10:uidLastSave="{00000000-0000-0000-0000-000000000000}"/>
  <bookViews>
    <workbookView xWindow="-108" yWindow="-108" windowWidth="23256" windowHeight="12456" xr2:uid="{BC314A85-E3D9-49AD-A2B3-2D5D99045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5" i="1"/>
  <c r="K16" i="1"/>
  <c r="K17" i="1"/>
  <c r="K18" i="1"/>
  <c r="K19" i="1"/>
  <c r="K20" i="1"/>
  <c r="K21" i="1"/>
  <c r="K22" i="1"/>
  <c r="K13" i="1"/>
  <c r="K23" i="1"/>
  <c r="K12" i="1"/>
  <c r="C24" i="1"/>
  <c r="D12" i="1"/>
  <c r="E12" i="1" s="1"/>
  <c r="G21" i="1" l="1"/>
  <c r="G16" i="1"/>
  <c r="G17" i="1"/>
  <c r="G13" i="1"/>
  <c r="G14" i="1"/>
  <c r="G18" i="1"/>
  <c r="G22" i="1"/>
  <c r="G20" i="1"/>
  <c r="G15" i="1"/>
  <c r="G19" i="1"/>
  <c r="G23" i="1"/>
  <c r="D13" i="1"/>
  <c r="D14" i="1" s="1"/>
  <c r="D15" i="1" s="1"/>
  <c r="D16" i="1" s="1"/>
  <c r="D17" i="1" s="1"/>
  <c r="D18" i="1" s="1"/>
  <c r="H12" i="1"/>
  <c r="D19" i="1" l="1"/>
  <c r="I12" i="1"/>
  <c r="L12" i="1"/>
  <c r="P12" i="1" s="1"/>
  <c r="D20" i="1" l="1"/>
  <c r="O12" i="1"/>
  <c r="M12" i="1"/>
  <c r="D21" i="1" l="1"/>
  <c r="E13" i="1"/>
  <c r="H13" i="1" s="1"/>
  <c r="T12" i="1"/>
  <c r="S12" i="1"/>
  <c r="Q12" i="1"/>
  <c r="D22" i="1" l="1"/>
  <c r="L13" i="1"/>
  <c r="I13" i="1"/>
  <c r="O13" i="1" l="1"/>
  <c r="P13" i="1"/>
  <c r="M13" i="1"/>
  <c r="E14" i="1" l="1"/>
  <c r="H14" i="1" s="1"/>
  <c r="T13" i="1"/>
  <c r="S13" i="1"/>
  <c r="Q13" i="1"/>
  <c r="L14" i="1" l="1"/>
  <c r="I14" i="1"/>
  <c r="D23" i="1"/>
  <c r="D24" i="1" s="1"/>
  <c r="O14" i="1" l="1"/>
  <c r="P14" i="1"/>
  <c r="M14" i="1"/>
  <c r="T14" i="1" l="1"/>
  <c r="Q14" i="1"/>
  <c r="E15" i="1"/>
  <c r="H15" i="1" s="1"/>
  <c r="S14" i="1"/>
  <c r="L15" i="1" l="1"/>
  <c r="I15" i="1"/>
  <c r="O15" i="1" l="1"/>
  <c r="P15" i="1"/>
  <c r="M15" i="1"/>
  <c r="S15" i="1" l="1"/>
  <c r="E16" i="1"/>
  <c r="H16" i="1" s="1"/>
  <c r="T15" i="1"/>
  <c r="Q15" i="1"/>
  <c r="L16" i="1" l="1"/>
  <c r="I16" i="1"/>
  <c r="O16" i="1" l="1"/>
  <c r="P16" i="1"/>
  <c r="M16" i="1"/>
  <c r="S16" i="1" l="1"/>
  <c r="T16" i="1"/>
  <c r="Q16" i="1"/>
  <c r="E17" i="1"/>
  <c r="H17" i="1" s="1"/>
  <c r="L17" i="1" l="1"/>
  <c r="I17" i="1"/>
  <c r="O17" i="1" l="1"/>
  <c r="P17" i="1"/>
  <c r="M17" i="1"/>
  <c r="S17" i="1" l="1"/>
  <c r="T17" i="1"/>
  <c r="Q17" i="1"/>
  <c r="E18" i="1"/>
  <c r="H18" i="1" s="1"/>
  <c r="L18" i="1" l="1"/>
  <c r="I18" i="1"/>
  <c r="O18" i="1" l="1"/>
  <c r="P18" i="1"/>
  <c r="M18" i="1"/>
  <c r="T18" i="1" l="1"/>
  <c r="S18" i="1"/>
  <c r="Q18" i="1"/>
  <c r="E19" i="1"/>
  <c r="H19" i="1" s="1"/>
  <c r="L19" i="1" l="1"/>
  <c r="I19" i="1"/>
  <c r="O19" i="1" l="1"/>
  <c r="P19" i="1"/>
  <c r="M19" i="1"/>
  <c r="S19" i="1" l="1"/>
  <c r="T19" i="1"/>
  <c r="Q19" i="1"/>
  <c r="E20" i="1"/>
  <c r="H20" i="1" s="1"/>
  <c r="L20" i="1" l="1"/>
  <c r="I20" i="1"/>
  <c r="O20" i="1" l="1"/>
  <c r="P20" i="1"/>
  <c r="M20" i="1"/>
  <c r="S20" i="1" l="1"/>
  <c r="T20" i="1"/>
  <c r="Q20" i="1"/>
  <c r="E21" i="1"/>
  <c r="H21" i="1" s="1"/>
  <c r="L21" i="1" l="1"/>
  <c r="I21" i="1"/>
  <c r="O21" i="1" l="1"/>
  <c r="P21" i="1"/>
  <c r="M21" i="1"/>
  <c r="T21" i="1" l="1"/>
  <c r="S21" i="1"/>
  <c r="Q21" i="1"/>
  <c r="E22" i="1"/>
  <c r="H22" i="1" s="1"/>
  <c r="L22" i="1" l="1"/>
  <c r="I22" i="1"/>
  <c r="O22" i="1" l="1"/>
  <c r="P22" i="1"/>
  <c r="M22" i="1"/>
  <c r="T22" i="1" l="1"/>
  <c r="S22" i="1"/>
  <c r="Q22" i="1"/>
  <c r="E23" i="1"/>
  <c r="H23" i="1" s="1"/>
  <c r="I23" i="1" l="1"/>
  <c r="H24" i="1"/>
  <c r="L23" i="1"/>
  <c r="O23" i="1" l="1"/>
  <c r="I24" i="1"/>
  <c r="P23" i="1"/>
  <c r="L24" i="1"/>
  <c r="M23" i="1"/>
  <c r="M24" i="1" l="1"/>
  <c r="Q23" i="1"/>
  <c r="S23" i="1"/>
  <c r="T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Mahriar Gharaghani</author>
  </authors>
  <commentList>
    <comment ref="G10" authorId="0" shapeId="0" xr:uid="{E5158EA6-82A1-414D-A9D9-7265D46215B7}">
      <text/>
    </comment>
    <comment ref="L24" authorId="0" shapeId="0" xr:uid="{6EAD483B-4B03-41B7-93B2-1B543F2BDD4E}">
      <text>
        <r>
          <rPr>
            <b/>
            <sz val="9"/>
            <color indexed="81"/>
            <rFont val="Tahoma"/>
            <family val="2"/>
          </rPr>
          <t>Mahriar Gharaghani:</t>
        </r>
        <r>
          <rPr>
            <sz val="9"/>
            <color indexed="81"/>
            <rFont val="Tahoma"/>
            <family val="2"/>
          </rPr>
          <t xml:space="preserve">
over allocation, Trunkated budget</t>
        </r>
      </text>
    </comment>
  </commentList>
</comments>
</file>

<file path=xl/sharedStrings.xml><?xml version="1.0" encoding="utf-8"?>
<sst xmlns="http://schemas.openxmlformats.org/spreadsheetml/2006/main" count="16" uniqueCount="16">
  <si>
    <t>per_remain</t>
  </si>
  <si>
    <t>per_plan</t>
  </si>
  <si>
    <t>per_actual</t>
  </si>
  <si>
    <t>cum_actual</t>
  </si>
  <si>
    <t>cum_plan</t>
  </si>
  <si>
    <t>cum_overrun</t>
  </si>
  <si>
    <t>per_ev</t>
  </si>
  <si>
    <t>cum_ev</t>
  </si>
  <si>
    <t>spi</t>
  </si>
  <si>
    <t>cpi</t>
  </si>
  <si>
    <t>cum_remain</t>
  </si>
  <si>
    <t>cum_plan - cum_ev</t>
  </si>
  <si>
    <t>action_plan</t>
  </si>
  <si>
    <t>rand</t>
  </si>
  <si>
    <t>assignment</t>
  </si>
  <si>
    <t>Mahriar Gharaghani:
NO less than previous earned value on dedicated budget with 10% added safty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</si>
</sst>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7" borderId="4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0" fillId="9" borderId="0" xfId="0" applyFill="1" applyBorder="1" applyAlignment="1">
      <alignment wrapText="1"/>
    </xf>
    <xf numFmtId="0" fontId="0" fillId="10" borderId="7" xfId="0" applyFill="1" applyBorder="1" applyAlignment="1">
      <alignment wrapText="1"/>
    </xf>
    <xf numFmtId="0" fontId="0" fillId="10" borderId="0" xfId="0" applyFill="1" applyBorder="1" applyAlignment="1">
      <alignment wrapText="1"/>
    </xf>
    <xf numFmtId="0" fontId="0" fillId="11" borderId="9" xfId="0" applyFill="1" applyBorder="1" applyAlignment="1">
      <alignment wrapText="1"/>
    </xf>
    <xf numFmtId="0" fontId="0" fillId="8" borderId="0" xfId="0" applyFill="1" applyAlignment="1">
      <alignment horizontal="center" wrapText="1"/>
    </xf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094B-70E7-4DCF-925E-82D0381245B1}">
  <dimension ref="B6:U24"/>
  <sheetViews>
    <sheetView tabSelected="1" topLeftCell="A2" zoomScale="76" workbookViewId="0">
      <selection activeCell="L23" sqref="L23"/>
    </sheetView>
  </sheetViews>
  <sheetFormatPr defaultRowHeight="14.4" x14ac:dyDescent="0.3"/>
  <cols>
    <col min="1" max="1" width="8.88671875" style="1"/>
    <col min="2" max="2" width="3" style="1" bestFit="1" customWidth="1"/>
    <col min="3" max="3" width="12.77734375" style="1" customWidth="1"/>
    <col min="4" max="4" width="9.5546875" style="1" customWidth="1"/>
    <col min="5" max="5" width="11.77734375" style="1" bestFit="1" customWidth="1"/>
    <col min="6" max="6" width="8.88671875" style="1"/>
    <col min="7" max="7" width="21" style="1" customWidth="1"/>
    <col min="8" max="9" width="11.77734375" style="1" bestFit="1" customWidth="1"/>
    <col min="10" max="10" width="11.5546875" style="1" customWidth="1"/>
    <col min="11" max="11" width="4.77734375" style="1" bestFit="1" customWidth="1"/>
    <col min="12" max="13" width="11.77734375" style="1" bestFit="1" customWidth="1"/>
    <col min="14" max="14" width="11.5546875" style="1" customWidth="1"/>
    <col min="15" max="15" width="11.77734375" style="1" bestFit="1" customWidth="1"/>
    <col min="16" max="17" width="12.44140625" style="1" bestFit="1" customWidth="1"/>
    <col min="18" max="18" width="11.5546875" style="1" customWidth="1"/>
    <col min="19" max="20" width="11.77734375" style="1" bestFit="1" customWidth="1"/>
    <col min="22" max="24" width="12.21875" style="1" bestFit="1" customWidth="1"/>
    <col min="25" max="16384" width="8.88671875" style="1"/>
  </cols>
  <sheetData>
    <row r="6" spans="2:21" x14ac:dyDescent="0.3">
      <c r="B6" s="30" t="s">
        <v>15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2:21" x14ac:dyDescent="0.3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2:21" ht="15" thickBot="1" x14ac:dyDescent="0.35">
      <c r="U8" s="1"/>
    </row>
    <row r="9" spans="2:21" x14ac:dyDescent="0.3">
      <c r="B9" s="3"/>
      <c r="C9" s="4"/>
      <c r="D9" s="4"/>
      <c r="E9" s="5" t="s">
        <v>12</v>
      </c>
      <c r="F9" s="4"/>
      <c r="G9" s="4"/>
      <c r="H9" s="6"/>
      <c r="I9" s="7"/>
      <c r="J9" s="4"/>
      <c r="K9" s="4"/>
      <c r="L9" s="8"/>
      <c r="M9" s="9"/>
      <c r="N9" s="4"/>
      <c r="O9" s="4"/>
      <c r="P9" s="4"/>
      <c r="Q9" s="10"/>
      <c r="R9" s="4"/>
      <c r="S9" s="4"/>
      <c r="T9" s="11"/>
      <c r="U9" s="1"/>
    </row>
    <row r="10" spans="2:21" ht="29.4" thickBot="1" x14ac:dyDescent="0.35">
      <c r="B10" s="16"/>
      <c r="C10" s="20" t="s">
        <v>1</v>
      </c>
      <c r="D10" s="21" t="s">
        <v>4</v>
      </c>
      <c r="E10" s="22" t="s">
        <v>11</v>
      </c>
      <c r="F10" s="23"/>
      <c r="G10" s="23" t="s">
        <v>14</v>
      </c>
      <c r="H10" s="20" t="s">
        <v>2</v>
      </c>
      <c r="I10" s="24" t="s">
        <v>3</v>
      </c>
      <c r="J10" s="23"/>
      <c r="K10" s="23" t="s">
        <v>13</v>
      </c>
      <c r="L10" s="20" t="s">
        <v>6</v>
      </c>
      <c r="M10" s="24" t="s">
        <v>7</v>
      </c>
      <c r="N10" s="23"/>
      <c r="O10" s="21" t="s">
        <v>5</v>
      </c>
      <c r="P10" s="20" t="s">
        <v>0</v>
      </c>
      <c r="Q10" s="24" t="s">
        <v>10</v>
      </c>
      <c r="R10" s="23"/>
      <c r="S10" s="21" t="s">
        <v>8</v>
      </c>
      <c r="T10" s="25" t="s">
        <v>9</v>
      </c>
      <c r="U10" s="1"/>
    </row>
    <row r="11" spans="2:21" x14ac:dyDescent="0.3">
      <c r="B11" s="12">
        <v>0</v>
      </c>
      <c r="C11" s="13">
        <v>0</v>
      </c>
      <c r="D11" s="13">
        <v>0</v>
      </c>
      <c r="E11" s="2">
        <v>0</v>
      </c>
      <c r="F11" s="13"/>
      <c r="G11" s="13"/>
      <c r="H11" s="14">
        <v>0</v>
      </c>
      <c r="I11" s="2">
        <v>0</v>
      </c>
      <c r="J11" s="13"/>
      <c r="K11" s="13"/>
      <c r="L11" s="13">
        <v>0</v>
      </c>
      <c r="M11" s="2">
        <v>0</v>
      </c>
      <c r="N11" s="13"/>
      <c r="O11" s="13">
        <v>0</v>
      </c>
      <c r="P11" s="13">
        <v>0</v>
      </c>
      <c r="Q11" s="2">
        <v>0</v>
      </c>
      <c r="R11" s="13"/>
      <c r="S11" s="13">
        <v>0</v>
      </c>
      <c r="T11" s="15">
        <v>0</v>
      </c>
      <c r="U11" s="1"/>
    </row>
    <row r="12" spans="2:21" x14ac:dyDescent="0.3">
      <c r="B12" s="12">
        <v>1</v>
      </c>
      <c r="C12" s="13">
        <v>4.7619047619047616E-2</v>
      </c>
      <c r="D12" s="13">
        <f>C12</f>
        <v>4.7619047619047616E-2</v>
      </c>
      <c r="E12" s="2">
        <f>D12-M11</f>
        <v>4.7619047619047616E-2</v>
      </c>
      <c r="F12" s="13"/>
      <c r="G12" s="26">
        <v>1</v>
      </c>
      <c r="H12" s="14">
        <f>E12/G12</f>
        <v>4.7619047619047616E-2</v>
      </c>
      <c r="I12" s="2">
        <f>H12</f>
        <v>4.7619047619047616E-2</v>
      </c>
      <c r="J12" s="13"/>
      <c r="K12" s="13">
        <f t="shared" ref="K12:K23" ca="1" si="0">(RANDBETWEEN(80,100)/100)</f>
        <v>0.96</v>
      </c>
      <c r="L12" s="13">
        <f ca="1">K12*H12</f>
        <v>4.5714285714285707E-2</v>
      </c>
      <c r="M12" s="2">
        <f ca="1">M11+L12</f>
        <v>4.5714285714285707E-2</v>
      </c>
      <c r="N12" s="13"/>
      <c r="O12" s="13">
        <f>I12-D12</f>
        <v>0</v>
      </c>
      <c r="P12" s="13">
        <f ca="1">C12-L12</f>
        <v>1.9047619047619091E-3</v>
      </c>
      <c r="Q12" s="2">
        <f ca="1">D12-M12</f>
        <v>1.9047619047619091E-3</v>
      </c>
      <c r="R12" s="13"/>
      <c r="S12" s="28">
        <f ca="1">M12/D12</f>
        <v>0.95999999999999985</v>
      </c>
      <c r="T12" s="27">
        <f ca="1">M12/I12</f>
        <v>0.95999999999999985</v>
      </c>
      <c r="U12" s="1"/>
    </row>
    <row r="13" spans="2:21" x14ac:dyDescent="0.3">
      <c r="B13" s="12">
        <v>2</v>
      </c>
      <c r="C13" s="13">
        <v>4.7619047619047616E-2</v>
      </c>
      <c r="D13" s="13">
        <f>D12+C13</f>
        <v>9.5238095238095233E-2</v>
      </c>
      <c r="E13" s="2">
        <f ca="1">D13-M12</f>
        <v>4.9523809523809526E-2</v>
      </c>
      <c r="F13" s="13"/>
      <c r="G13" s="13">
        <f ca="1">MIN($K$12:K13)-0.1</f>
        <v>0.74</v>
      </c>
      <c r="H13" s="14">
        <f ca="1">E13/G13</f>
        <v>6.6924066924066924E-2</v>
      </c>
      <c r="I13" s="2">
        <f ca="1">I12+H13</f>
        <v>0.11454311454311454</v>
      </c>
      <c r="J13" s="13"/>
      <c r="K13" s="13">
        <f t="shared" ca="1" si="0"/>
        <v>0.84</v>
      </c>
      <c r="L13" s="13">
        <f t="shared" ref="L13" ca="1" si="1">K13*H13</f>
        <v>5.6216216216216211E-2</v>
      </c>
      <c r="M13" s="2">
        <f ca="1">M12+L13</f>
        <v>0.10193050193050192</v>
      </c>
      <c r="N13" s="13"/>
      <c r="O13" s="13">
        <f ca="1">I13-D13</f>
        <v>1.9305019305019308E-2</v>
      </c>
      <c r="P13" s="13">
        <f ca="1">C13-L13</f>
        <v>-8.5971685971685946E-3</v>
      </c>
      <c r="Q13" s="2">
        <f ca="1">D13-M13</f>
        <v>-6.6924066924066855E-3</v>
      </c>
      <c r="R13" s="13"/>
      <c r="S13" s="28">
        <f ca="1">M13/D13</f>
        <v>1.0702702702702702</v>
      </c>
      <c r="T13" s="27">
        <f ca="1">M13/I13</f>
        <v>0.88988764044943813</v>
      </c>
      <c r="U13" s="1"/>
    </row>
    <row r="14" spans="2:21" x14ac:dyDescent="0.3">
      <c r="B14" s="12">
        <v>3</v>
      </c>
      <c r="C14" s="13">
        <v>4.7619047619047616E-2</v>
      </c>
      <c r="D14" s="13">
        <f t="shared" ref="D14:D22" si="2">D13+C14</f>
        <v>0.14285714285714285</v>
      </c>
      <c r="E14" s="2">
        <f t="shared" ref="E14:E22" ca="1" si="3">D14-M13</f>
        <v>4.0926640926640931E-2</v>
      </c>
      <c r="F14" s="13"/>
      <c r="G14" s="13">
        <f ca="1">MIN($K$12:K14)-0.1</f>
        <v>0.73</v>
      </c>
      <c r="H14" s="14">
        <f t="shared" ref="H14:H22" ca="1" si="4">E14/G14</f>
        <v>5.6063891680330047E-2</v>
      </c>
      <c r="I14" s="2">
        <f t="shared" ref="I14:I23" ca="1" si="5">I13+H14</f>
        <v>0.1706070062234446</v>
      </c>
      <c r="J14" s="13"/>
      <c r="K14" s="13">
        <f t="shared" ca="1" si="0"/>
        <v>0.83</v>
      </c>
      <c r="L14" s="13">
        <f t="shared" ref="L14:L22" ca="1" si="6">K14*H14</f>
        <v>4.6533030094673938E-2</v>
      </c>
      <c r="M14" s="2">
        <f t="shared" ref="M14:M22" ca="1" si="7">M13+L14</f>
        <v>0.14846353202517587</v>
      </c>
      <c r="N14" s="13"/>
      <c r="O14" s="13">
        <f t="shared" ref="O14:O22" ca="1" si="8">I14-D14</f>
        <v>2.7749863366301752E-2</v>
      </c>
      <c r="P14" s="13">
        <f t="shared" ref="P14:P22" ca="1" si="9">C14-L14</f>
        <v>1.086017524373678E-3</v>
      </c>
      <c r="Q14" s="2">
        <f t="shared" ref="Q14:Q22" ca="1" si="10">D14-M14</f>
        <v>-5.6063891680330213E-3</v>
      </c>
      <c r="R14" s="13"/>
      <c r="S14" s="28">
        <f t="shared" ref="S14:S22" ca="1" si="11">M14/D14</f>
        <v>1.0392447241762313</v>
      </c>
      <c r="T14" s="27">
        <f t="shared" ref="T14:T22" ca="1" si="12">M14/I14</f>
        <v>0.87020770900072331</v>
      </c>
      <c r="U14" s="1"/>
    </row>
    <row r="15" spans="2:21" x14ac:dyDescent="0.3">
      <c r="B15" s="12">
        <v>4</v>
      </c>
      <c r="C15" s="13">
        <v>9.5238095238095233E-2</v>
      </c>
      <c r="D15" s="13">
        <f t="shared" si="2"/>
        <v>0.23809523809523808</v>
      </c>
      <c r="E15" s="2">
        <f t="shared" ca="1" si="3"/>
        <v>8.9631706070062211E-2</v>
      </c>
      <c r="F15" s="13"/>
      <c r="G15" s="13">
        <f ca="1">MIN($K$12:K15)-0.1</f>
        <v>0.73</v>
      </c>
      <c r="H15" s="14">
        <f t="shared" ca="1" si="4"/>
        <v>0.12278315900008523</v>
      </c>
      <c r="I15" s="2">
        <f t="shared" ca="1" si="5"/>
        <v>0.29339016522352984</v>
      </c>
      <c r="J15" s="13"/>
      <c r="K15" s="13">
        <f t="shared" ca="1" si="0"/>
        <v>0.83</v>
      </c>
      <c r="L15" s="13">
        <f t="shared" ca="1" si="6"/>
        <v>0.10191002197007074</v>
      </c>
      <c r="M15" s="2">
        <f t="shared" ca="1" si="7"/>
        <v>0.25037355399524663</v>
      </c>
      <c r="N15" s="13"/>
      <c r="O15" s="13">
        <f t="shared" ca="1" si="8"/>
        <v>5.529492712829176E-2</v>
      </c>
      <c r="P15" s="13">
        <f t="shared" ca="1" si="9"/>
        <v>-6.6719267319755027E-3</v>
      </c>
      <c r="Q15" s="2">
        <f t="shared" ca="1" si="10"/>
        <v>-1.2278315900008552E-2</v>
      </c>
      <c r="R15" s="13"/>
      <c r="S15" s="28">
        <f t="shared" ca="1" si="11"/>
        <v>1.0515689267800359</v>
      </c>
      <c r="T15" s="27">
        <f t="shared" ca="1" si="12"/>
        <v>0.85338086845716365</v>
      </c>
      <c r="U15" s="1"/>
    </row>
    <row r="16" spans="2:21" x14ac:dyDescent="0.3">
      <c r="B16" s="12">
        <v>5</v>
      </c>
      <c r="C16" s="13">
        <v>9.5238095238095233E-2</v>
      </c>
      <c r="D16" s="13">
        <f t="shared" si="2"/>
        <v>0.33333333333333331</v>
      </c>
      <c r="E16" s="2">
        <f t="shared" ca="1" si="3"/>
        <v>8.2959779338086681E-2</v>
      </c>
      <c r="F16" s="13"/>
      <c r="G16" s="13">
        <f ca="1">MIN($K$12:K16)-0.1</f>
        <v>0.73</v>
      </c>
      <c r="H16" s="14">
        <f t="shared" ca="1" si="4"/>
        <v>0.11364353333984477</v>
      </c>
      <c r="I16" s="2">
        <f t="shared" ca="1" si="5"/>
        <v>0.40703369856337462</v>
      </c>
      <c r="J16" s="13"/>
      <c r="K16" s="13">
        <f t="shared" ca="1" si="0"/>
        <v>0.92</v>
      </c>
      <c r="L16" s="13">
        <f t="shared" ca="1" si="6"/>
        <v>0.10455205067265719</v>
      </c>
      <c r="M16" s="2">
        <f t="shared" ca="1" si="7"/>
        <v>0.35492560466790379</v>
      </c>
      <c r="N16" s="13"/>
      <c r="O16" s="13">
        <f t="shared" ca="1" si="8"/>
        <v>7.3700365230041309E-2</v>
      </c>
      <c r="P16" s="13">
        <f t="shared" ca="1" si="9"/>
        <v>-9.3139554345619546E-3</v>
      </c>
      <c r="Q16" s="2">
        <f t="shared" ca="1" si="10"/>
        <v>-2.1592271334570479E-2</v>
      </c>
      <c r="R16" s="13"/>
      <c r="S16" s="28">
        <f t="shared" ca="1" si="11"/>
        <v>1.0647768140037115</v>
      </c>
      <c r="T16" s="27">
        <f t="shared" ca="1" si="12"/>
        <v>0.87198088492577808</v>
      </c>
      <c r="U16" s="1"/>
    </row>
    <row r="17" spans="2:21" x14ac:dyDescent="0.3">
      <c r="B17" s="12">
        <v>6</v>
      </c>
      <c r="C17" s="13">
        <v>0.14285714285714285</v>
      </c>
      <c r="D17" s="13">
        <f t="shared" si="2"/>
        <v>0.47619047619047616</v>
      </c>
      <c r="E17" s="2">
        <f t="shared" ca="1" si="3"/>
        <v>0.12126487152257237</v>
      </c>
      <c r="F17" s="13"/>
      <c r="G17" s="13">
        <f ca="1">MIN($K$12:K17)-0.1</f>
        <v>0.72</v>
      </c>
      <c r="H17" s="14">
        <f t="shared" ca="1" si="4"/>
        <v>0.1684234326702394</v>
      </c>
      <c r="I17" s="2">
        <f t="shared" ca="1" si="5"/>
        <v>0.57545713123361408</v>
      </c>
      <c r="J17" s="13"/>
      <c r="K17" s="13">
        <f t="shared" ca="1" si="0"/>
        <v>0.82</v>
      </c>
      <c r="L17" s="13">
        <f t="shared" ca="1" si="6"/>
        <v>0.13810721478959631</v>
      </c>
      <c r="M17" s="2">
        <f t="shared" ca="1" si="7"/>
        <v>0.4930328194575001</v>
      </c>
      <c r="N17" s="13"/>
      <c r="O17" s="13">
        <f t="shared" ca="1" si="8"/>
        <v>9.9266655043137919E-2</v>
      </c>
      <c r="P17" s="13">
        <f t="shared" ca="1" si="9"/>
        <v>4.7499280675465383E-3</v>
      </c>
      <c r="Q17" s="2">
        <f t="shared" ca="1" si="10"/>
        <v>-1.684234326702394E-2</v>
      </c>
      <c r="R17" s="13"/>
      <c r="S17" s="28">
        <f t="shared" ca="1" si="11"/>
        <v>1.0353689208607504</v>
      </c>
      <c r="T17" s="27">
        <f t="shared" ca="1" si="12"/>
        <v>0.85676724241922242</v>
      </c>
      <c r="U17" s="1"/>
    </row>
    <row r="18" spans="2:21" x14ac:dyDescent="0.3">
      <c r="B18" s="12">
        <v>7</v>
      </c>
      <c r="C18" s="13">
        <v>0.14285714285714285</v>
      </c>
      <c r="D18" s="13">
        <f t="shared" si="2"/>
        <v>0.61904761904761907</v>
      </c>
      <c r="E18" s="2">
        <f t="shared" ca="1" si="3"/>
        <v>0.12601479959011896</v>
      </c>
      <c r="F18" s="13"/>
      <c r="G18" s="13">
        <f ca="1">MIN($K$12:K18)-0.1</f>
        <v>0.72</v>
      </c>
      <c r="H18" s="14">
        <f t="shared" ca="1" si="4"/>
        <v>0.17502055498627633</v>
      </c>
      <c r="I18" s="2">
        <f t="shared" ca="1" si="5"/>
        <v>0.75047768621989042</v>
      </c>
      <c r="J18" s="13"/>
      <c r="K18" s="13">
        <f t="shared" ca="1" si="0"/>
        <v>0.9</v>
      </c>
      <c r="L18" s="13">
        <f t="shared" ca="1" si="6"/>
        <v>0.15751849948764871</v>
      </c>
      <c r="M18" s="2">
        <f t="shared" ca="1" si="7"/>
        <v>0.65055131894514884</v>
      </c>
      <c r="N18" s="13"/>
      <c r="O18" s="13">
        <f t="shared" ca="1" si="8"/>
        <v>0.13143006717227135</v>
      </c>
      <c r="P18" s="13">
        <f t="shared" ca="1" si="9"/>
        <v>-1.4661356630505856E-2</v>
      </c>
      <c r="Q18" s="2">
        <f t="shared" ca="1" si="10"/>
        <v>-3.1503699897529769E-2</v>
      </c>
      <c r="R18" s="13"/>
      <c r="S18" s="28">
        <f t="shared" ca="1" si="11"/>
        <v>1.0508905921421634</v>
      </c>
      <c r="T18" s="27">
        <f t="shared" ca="1" si="12"/>
        <v>0.86684964908408602</v>
      </c>
      <c r="U18" s="1"/>
    </row>
    <row r="19" spans="2:21" x14ac:dyDescent="0.3">
      <c r="B19" s="12">
        <v>8</v>
      </c>
      <c r="C19" s="13">
        <v>0.14285714285714285</v>
      </c>
      <c r="D19" s="13">
        <f t="shared" si="2"/>
        <v>0.76190476190476186</v>
      </c>
      <c r="E19" s="2">
        <f t="shared" ca="1" si="3"/>
        <v>0.11135344295961302</v>
      </c>
      <c r="F19" s="13"/>
      <c r="G19" s="13">
        <f ca="1">MIN($K$12:K19)-0.1</f>
        <v>0.72</v>
      </c>
      <c r="H19" s="14">
        <f t="shared" ca="1" si="4"/>
        <v>0.15465755966612921</v>
      </c>
      <c r="I19" s="2">
        <f t="shared" ca="1" si="5"/>
        <v>0.90513524588601957</v>
      </c>
      <c r="J19" s="13"/>
      <c r="K19" s="13">
        <f t="shared" ca="1" si="0"/>
        <v>0.84</v>
      </c>
      <c r="L19" s="13">
        <f t="shared" ca="1" si="6"/>
        <v>0.12991235011954852</v>
      </c>
      <c r="M19" s="2">
        <f t="shared" ca="1" si="7"/>
        <v>0.78046366906469733</v>
      </c>
      <c r="N19" s="13"/>
      <c r="O19" s="13">
        <f t="shared" ca="1" si="8"/>
        <v>0.14323048398125771</v>
      </c>
      <c r="P19" s="13">
        <f t="shared" ca="1" si="9"/>
        <v>1.2944792737594329E-2</v>
      </c>
      <c r="Q19" s="2">
        <f t="shared" ca="1" si="10"/>
        <v>-1.8558907159935467E-2</v>
      </c>
      <c r="R19" s="13"/>
      <c r="S19" s="28">
        <f t="shared" ca="1" si="11"/>
        <v>1.0243585656474152</v>
      </c>
      <c r="T19" s="27">
        <f t="shared" ca="1" si="12"/>
        <v>0.86226193556380226</v>
      </c>
      <c r="U19" s="1"/>
    </row>
    <row r="20" spans="2:21" x14ac:dyDescent="0.3">
      <c r="B20" s="12">
        <v>9</v>
      </c>
      <c r="C20" s="13">
        <v>9.5238095238095233E-2</v>
      </c>
      <c r="D20" s="13">
        <f t="shared" si="2"/>
        <v>0.8571428571428571</v>
      </c>
      <c r="E20" s="2">
        <f t="shared" ca="1" si="3"/>
        <v>7.6679188078159766E-2</v>
      </c>
      <c r="F20" s="13"/>
      <c r="G20" s="13">
        <f ca="1">MIN($K$12:K20)-0.1</f>
        <v>0.72</v>
      </c>
      <c r="H20" s="14">
        <f t="shared" ca="1" si="4"/>
        <v>0.10649887233077746</v>
      </c>
      <c r="I20" s="2">
        <f t="shared" ca="1" si="5"/>
        <v>1.0116341182167969</v>
      </c>
      <c r="J20" s="13"/>
      <c r="K20" s="13">
        <f t="shared" ca="1" si="0"/>
        <v>0.89</v>
      </c>
      <c r="L20" s="13">
        <f t="shared" ca="1" si="6"/>
        <v>9.4783996374391943E-2</v>
      </c>
      <c r="M20" s="2">
        <f t="shared" ca="1" si="7"/>
        <v>0.87524766543908927</v>
      </c>
      <c r="N20" s="13"/>
      <c r="O20" s="13">
        <f t="shared" ca="1" si="8"/>
        <v>0.15449126107393985</v>
      </c>
      <c r="P20" s="13">
        <f t="shared" ca="1" si="9"/>
        <v>4.5409886370328945E-4</v>
      </c>
      <c r="Q20" s="2">
        <f t="shared" ca="1" si="10"/>
        <v>-1.8104808296232178E-2</v>
      </c>
      <c r="R20" s="13"/>
      <c r="S20" s="28">
        <f t="shared" ca="1" si="11"/>
        <v>1.0211222763456043</v>
      </c>
      <c r="T20" s="27">
        <f t="shared" ca="1" si="12"/>
        <v>0.86518203536065441</v>
      </c>
      <c r="U20" s="1"/>
    </row>
    <row r="21" spans="2:21" x14ac:dyDescent="0.3">
      <c r="B21" s="12">
        <v>10</v>
      </c>
      <c r="C21" s="13">
        <v>4.7619047619047616E-2</v>
      </c>
      <c r="D21" s="13">
        <f t="shared" si="2"/>
        <v>0.90476190476190466</v>
      </c>
      <c r="E21" s="2">
        <f t="shared" ca="1" si="3"/>
        <v>2.9514239322815383E-2</v>
      </c>
      <c r="F21" s="13"/>
      <c r="G21" s="13">
        <f ca="1">MIN($K$12:K21)-0.1</f>
        <v>0.72</v>
      </c>
      <c r="H21" s="14">
        <f t="shared" ca="1" si="4"/>
        <v>4.0991999059465808E-2</v>
      </c>
      <c r="I21" s="2">
        <f t="shared" ca="1" si="5"/>
        <v>1.0526261172762628</v>
      </c>
      <c r="J21" s="13"/>
      <c r="K21" s="13">
        <f t="shared" ca="1" si="0"/>
        <v>0.87</v>
      </c>
      <c r="L21" s="13">
        <f t="shared" ca="1" si="6"/>
        <v>3.5663039181735252E-2</v>
      </c>
      <c r="M21" s="2">
        <f t="shared" ca="1" si="7"/>
        <v>0.91091070462082457</v>
      </c>
      <c r="N21" s="13"/>
      <c r="O21" s="13">
        <f t="shared" ca="1" si="8"/>
        <v>0.14786421251435811</v>
      </c>
      <c r="P21" s="13">
        <f t="shared" ca="1" si="9"/>
        <v>1.1956008437312364E-2</v>
      </c>
      <c r="Q21" s="2">
        <f t="shared" ca="1" si="10"/>
        <v>-6.1487998589199178E-3</v>
      </c>
      <c r="R21" s="13"/>
      <c r="S21" s="28">
        <f t="shared" ca="1" si="11"/>
        <v>1.0067960419493325</v>
      </c>
      <c r="T21" s="27">
        <f t="shared" ca="1" si="12"/>
        <v>0.86536965943602473</v>
      </c>
      <c r="U21" s="1"/>
    </row>
    <row r="22" spans="2:21" x14ac:dyDescent="0.3">
      <c r="B22" s="12">
        <v>11</v>
      </c>
      <c r="C22" s="13">
        <v>4.7619047619047616E-2</v>
      </c>
      <c r="D22" s="13">
        <f t="shared" si="2"/>
        <v>0.95238095238095233</v>
      </c>
      <c r="E22" s="2">
        <f t="shared" ca="1" si="3"/>
        <v>4.1470247760127754E-2</v>
      </c>
      <c r="F22" s="13"/>
      <c r="G22" s="13">
        <f ca="1">MIN($K$12:K22)-0.1</f>
        <v>0.72</v>
      </c>
      <c r="H22" s="14">
        <f t="shared" ca="1" si="4"/>
        <v>5.759756633351077E-2</v>
      </c>
      <c r="I22" s="2">
        <f t="shared" ca="1" si="5"/>
        <v>1.1102236836097736</v>
      </c>
      <c r="J22" s="13"/>
      <c r="K22" s="13">
        <f t="shared" ca="1" si="0"/>
        <v>0.82</v>
      </c>
      <c r="L22" s="13">
        <f t="shared" ca="1" si="6"/>
        <v>4.7230004393478832E-2</v>
      </c>
      <c r="M22" s="2">
        <f t="shared" ca="1" si="7"/>
        <v>0.95814070901430337</v>
      </c>
      <c r="N22" s="13"/>
      <c r="O22" s="13">
        <f t="shared" ca="1" si="8"/>
        <v>0.15784273122882131</v>
      </c>
      <c r="P22" s="13">
        <f t="shared" ca="1" si="9"/>
        <v>3.8904322556878451E-4</v>
      </c>
      <c r="Q22" s="2">
        <f t="shared" ca="1" si="10"/>
        <v>-5.759756633351043E-3</v>
      </c>
      <c r="R22" s="13"/>
      <c r="S22" s="28">
        <f t="shared" ca="1" si="11"/>
        <v>1.0060477444650187</v>
      </c>
      <c r="T22" s="27">
        <f t="shared" ca="1" si="12"/>
        <v>0.86301591576484049</v>
      </c>
      <c r="U22" s="1"/>
    </row>
    <row r="23" spans="2:21" x14ac:dyDescent="0.3">
      <c r="B23" s="12">
        <v>12</v>
      </c>
      <c r="C23" s="13">
        <v>4.7619047619047616E-2</v>
      </c>
      <c r="D23" s="13">
        <f t="shared" ref="D23" si="13">D22+C23</f>
        <v>1</v>
      </c>
      <c r="E23" s="2">
        <f t="shared" ref="E23" ca="1" si="14">D23-M22</f>
        <v>4.1859290985696629E-2</v>
      </c>
      <c r="F23" s="13"/>
      <c r="G23" s="13">
        <f ca="1">MIN($K$12:K23)-0.1</f>
        <v>0.72</v>
      </c>
      <c r="H23" s="14">
        <f t="shared" ref="H23" ca="1" si="15">E23/G23</f>
        <v>5.8137904146800874E-2</v>
      </c>
      <c r="I23" s="2">
        <f t="shared" ca="1" si="5"/>
        <v>1.1683615877565745</v>
      </c>
      <c r="J23" s="13"/>
      <c r="K23" s="13">
        <f t="shared" ca="1" si="0"/>
        <v>0.95</v>
      </c>
      <c r="L23" s="13">
        <f t="shared" ref="L23" ca="1" si="16">K23*H23</f>
        <v>5.5231008939460827E-2</v>
      </c>
      <c r="M23" s="2">
        <f t="shared" ref="M23" ca="1" si="17">M22+L23</f>
        <v>1.0133717179537642</v>
      </c>
      <c r="N23" s="13"/>
      <c r="O23" s="13">
        <f t="shared" ref="O23" ca="1" si="18">I23-D23</f>
        <v>0.1683615877565745</v>
      </c>
      <c r="P23" s="13">
        <f t="shared" ref="P23" ca="1" si="19">C23-L23</f>
        <v>-7.6119613204132103E-3</v>
      </c>
      <c r="Q23" s="2">
        <f t="shared" ref="Q23" ca="1" si="20">D23-M23</f>
        <v>-1.3371717953764239E-2</v>
      </c>
      <c r="R23" s="13"/>
      <c r="S23" s="28">
        <f t="shared" ref="S23" ca="1" si="21">M23/D23</f>
        <v>1.0133717179537642</v>
      </c>
      <c r="T23" s="27">
        <f t="shared" ref="T23" ca="1" si="22">M23/I23</f>
        <v>0.86734426103445117</v>
      </c>
      <c r="U23" s="1"/>
    </row>
    <row r="24" spans="2:21" ht="15" thickBot="1" x14ac:dyDescent="0.35">
      <c r="B24" s="16"/>
      <c r="C24" s="17">
        <f>SUM(C11:C23)</f>
        <v>1</v>
      </c>
      <c r="D24" s="17" t="b">
        <f>D23=C24</f>
        <v>1</v>
      </c>
      <c r="E24" s="18"/>
      <c r="F24" s="17"/>
      <c r="G24" s="17"/>
      <c r="H24" s="17">
        <f ca="1">SUM(H11:H23)</f>
        <v>1.1683615877565745</v>
      </c>
      <c r="I24" s="18" t="b">
        <f ca="1">I23=H24</f>
        <v>1</v>
      </c>
      <c r="J24" s="17"/>
      <c r="K24" s="17"/>
      <c r="L24" s="29">
        <f ca="1">SUM(L11:L23)</f>
        <v>1.0133717179537642</v>
      </c>
      <c r="M24" s="18" t="b">
        <f ca="1">M23=L24</f>
        <v>1</v>
      </c>
      <c r="N24" s="17"/>
      <c r="O24" s="17"/>
      <c r="P24" s="17"/>
      <c r="Q24" s="18"/>
      <c r="R24" s="17"/>
      <c r="S24" s="17"/>
      <c r="T24" s="19"/>
    </row>
  </sheetData>
  <mergeCells count="1">
    <mergeCell ref="B6:T7"/>
  </mergeCells>
  <conditionalFormatting sqref="M12:M23">
    <cfRule type="cellIs" dxfId="1" priority="1" operator="lessThan">
      <formula>$D$12</formula>
    </cfRule>
    <cfRule type="cellIs" dxfId="0" priority="2" operator="greaterThan">
      <formula>$D$12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2025-12-05T17:19:47Z</dcterms:created>
  <dcterms:modified xsi:type="dcterms:W3CDTF">2025-12-05T21:10:04Z</dcterms:modified>
</cp:coreProperties>
</file>