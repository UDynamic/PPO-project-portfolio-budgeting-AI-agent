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F:\Career\01. IE (Industrial Engineering)\00. Univesity\Masters\05. Master's thesis\PPO-project-portfolio-budgeting-AI-agent\assets\Info_graphs\benchmark\"/>
    </mc:Choice>
  </mc:AlternateContent>
  <xr:revisionPtr revIDLastSave="0" documentId="13_ncr:1_{626BA2E8-9F96-445D-A61B-D351F28CD0AC}" xr6:coauthVersionLast="47" xr6:coauthVersionMax="47" xr10:uidLastSave="{00000000-0000-0000-0000-000000000000}"/>
  <bookViews>
    <workbookView xWindow="-108" yWindow="-108" windowWidth="23256" windowHeight="12456" xr2:uid="{BC314A85-E3D9-49AD-A2B3-2D5D990453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 l="1"/>
  <c r="K15" i="1"/>
  <c r="K16" i="1"/>
  <c r="K17" i="1"/>
  <c r="K18" i="1"/>
  <c r="K19" i="1"/>
  <c r="K20" i="1"/>
  <c r="K21" i="1"/>
  <c r="K22" i="1"/>
  <c r="K13" i="1"/>
  <c r="K23" i="1"/>
  <c r="K12" i="1"/>
  <c r="C24" i="1"/>
  <c r="D12" i="1"/>
  <c r="E12" i="1" s="1"/>
  <c r="G21" i="1" l="1"/>
  <c r="G16" i="1"/>
  <c r="G17" i="1"/>
  <c r="G13" i="1"/>
  <c r="G14" i="1"/>
  <c r="G18" i="1"/>
  <c r="G22" i="1"/>
  <c r="G20" i="1"/>
  <c r="G15" i="1"/>
  <c r="G19" i="1"/>
  <c r="G23" i="1"/>
  <c r="D13" i="1"/>
  <c r="D14" i="1" s="1"/>
  <c r="D15" i="1" s="1"/>
  <c r="D16" i="1" s="1"/>
  <c r="D17" i="1" s="1"/>
  <c r="D18" i="1" s="1"/>
  <c r="H12" i="1"/>
  <c r="D19" i="1" l="1"/>
  <c r="I12" i="1"/>
  <c r="L12" i="1"/>
  <c r="P12" i="1" s="1"/>
  <c r="D20" i="1" l="1"/>
  <c r="O12" i="1"/>
  <c r="M12" i="1"/>
  <c r="D21" i="1" l="1"/>
  <c r="E13" i="1"/>
  <c r="H13" i="1" s="1"/>
  <c r="T12" i="1"/>
  <c r="S12" i="1"/>
  <c r="Q12" i="1"/>
  <c r="D22" i="1" l="1"/>
  <c r="L13" i="1"/>
  <c r="I13" i="1"/>
  <c r="O13" i="1" l="1"/>
  <c r="P13" i="1"/>
  <c r="M13" i="1"/>
  <c r="E14" i="1" l="1"/>
  <c r="H14" i="1" s="1"/>
  <c r="T13" i="1"/>
  <c r="S13" i="1"/>
  <c r="Q13" i="1"/>
  <c r="L14" i="1" l="1"/>
  <c r="I14" i="1"/>
  <c r="D23" i="1"/>
  <c r="D24" i="1" s="1"/>
  <c r="O14" i="1" l="1"/>
  <c r="P14" i="1"/>
  <c r="M14" i="1"/>
  <c r="T14" i="1" l="1"/>
  <c r="Q14" i="1"/>
  <c r="E15" i="1"/>
  <c r="H15" i="1" s="1"/>
  <c r="S14" i="1"/>
  <c r="L15" i="1" l="1"/>
  <c r="I15" i="1"/>
  <c r="O15" i="1" l="1"/>
  <c r="P15" i="1"/>
  <c r="M15" i="1"/>
  <c r="S15" i="1" l="1"/>
  <c r="E16" i="1"/>
  <c r="H16" i="1" s="1"/>
  <c r="T15" i="1"/>
  <c r="Q15" i="1"/>
  <c r="L16" i="1" l="1"/>
  <c r="I16" i="1"/>
  <c r="O16" i="1" l="1"/>
  <c r="P16" i="1"/>
  <c r="M16" i="1"/>
  <c r="S16" i="1" l="1"/>
  <c r="T16" i="1"/>
  <c r="Q16" i="1"/>
  <c r="E17" i="1"/>
  <c r="H17" i="1" s="1"/>
  <c r="L17" i="1" l="1"/>
  <c r="I17" i="1"/>
  <c r="O17" i="1" l="1"/>
  <c r="P17" i="1"/>
  <c r="M17" i="1"/>
  <c r="S17" i="1" l="1"/>
  <c r="T17" i="1"/>
  <c r="Q17" i="1"/>
  <c r="E18" i="1"/>
  <c r="H18" i="1" s="1"/>
  <c r="L18" i="1" l="1"/>
  <c r="I18" i="1"/>
  <c r="O18" i="1" l="1"/>
  <c r="P18" i="1"/>
  <c r="M18" i="1"/>
  <c r="T18" i="1" l="1"/>
  <c r="S18" i="1"/>
  <c r="Q18" i="1"/>
  <c r="E19" i="1"/>
  <c r="H19" i="1" s="1"/>
  <c r="L19" i="1" l="1"/>
  <c r="I19" i="1"/>
  <c r="O19" i="1" l="1"/>
  <c r="P19" i="1"/>
  <c r="M19" i="1"/>
  <c r="S19" i="1" l="1"/>
  <c r="T19" i="1"/>
  <c r="Q19" i="1"/>
  <c r="E20" i="1"/>
  <c r="H20" i="1" s="1"/>
  <c r="L20" i="1" l="1"/>
  <c r="I20" i="1"/>
  <c r="O20" i="1" l="1"/>
  <c r="P20" i="1"/>
  <c r="M20" i="1"/>
  <c r="S20" i="1" l="1"/>
  <c r="T20" i="1"/>
  <c r="Q20" i="1"/>
  <c r="E21" i="1"/>
  <c r="H21" i="1" s="1"/>
  <c r="L21" i="1" l="1"/>
  <c r="I21" i="1"/>
  <c r="O21" i="1" l="1"/>
  <c r="P21" i="1"/>
  <c r="M21" i="1"/>
  <c r="T21" i="1" l="1"/>
  <c r="S21" i="1"/>
  <c r="Q21" i="1"/>
  <c r="E22" i="1"/>
  <c r="H22" i="1" s="1"/>
  <c r="L22" i="1" l="1"/>
  <c r="I22" i="1"/>
  <c r="O22" i="1" l="1"/>
  <c r="P22" i="1"/>
  <c r="M22" i="1"/>
  <c r="T22" i="1" l="1"/>
  <c r="S22" i="1"/>
  <c r="Q22" i="1"/>
  <c r="E23" i="1"/>
  <c r="H23" i="1" s="1"/>
  <c r="I23" i="1" l="1"/>
  <c r="H24" i="1"/>
  <c r="L23" i="1"/>
  <c r="O23" i="1" l="1"/>
  <c r="I24" i="1"/>
  <c r="P23" i="1"/>
  <c r="L24" i="1"/>
  <c r="M23" i="1"/>
  <c r="M24" i="1" l="1"/>
  <c r="Q23" i="1"/>
  <c r="S23" i="1"/>
  <c r="T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Mahriar Gharaghani</author>
  </authors>
  <commentList>
    <comment ref="G10" authorId="0" shapeId="0" xr:uid="{E5158EA6-82A1-414D-A9D9-7265D46215B7}">
      <text/>
    </comment>
    <comment ref="L24" authorId="0" shapeId="0" xr:uid="{6EAD483B-4B03-41B7-93B2-1B543F2BDD4E}">
      <text>
        <r>
          <rPr>
            <b/>
            <sz val="9"/>
            <color indexed="81"/>
            <rFont val="Tahoma"/>
            <family val="2"/>
          </rPr>
          <t>Mahriar Gharaghani:</t>
        </r>
        <r>
          <rPr>
            <sz val="9"/>
            <color indexed="81"/>
            <rFont val="Tahoma"/>
            <family val="2"/>
          </rPr>
          <t xml:space="preserve">
over allocation, Trunkated budget</t>
        </r>
      </text>
    </comment>
  </commentList>
</comments>
</file>

<file path=xl/sharedStrings.xml><?xml version="1.0" encoding="utf-8"?>
<sst xmlns="http://schemas.openxmlformats.org/spreadsheetml/2006/main" count="18" uniqueCount="18">
  <si>
    <t>per_remain</t>
  </si>
  <si>
    <t>per_plan</t>
  </si>
  <si>
    <t>per_actual</t>
  </si>
  <si>
    <t>cum_actual</t>
  </si>
  <si>
    <t>cum_plan</t>
  </si>
  <si>
    <t>cum_overrun</t>
  </si>
  <si>
    <t>per_ev</t>
  </si>
  <si>
    <t>cum_ev</t>
  </si>
  <si>
    <t>spi</t>
  </si>
  <si>
    <t>cpi</t>
  </si>
  <si>
    <t>cum_remain</t>
  </si>
  <si>
    <t>cum_plan - cum_ev</t>
  </si>
  <si>
    <t>action_plan</t>
  </si>
  <si>
    <t>rand</t>
  </si>
  <si>
    <t>assignment</t>
  </si>
  <si>
    <r>
      <t xml:space="preserve">we start at the first timestep, asign the first s-curve plan, according to worst (or any method of prediction and adjustment for the future) ratio of Earned value according to the actual allocation we set the next allocation requirement.
so 
</t>
    </r>
    <r>
      <rPr>
        <sz val="11"/>
        <color theme="1"/>
        <rFont val="Cascadia Code SemiBold"/>
        <family val="3"/>
      </rPr>
      <t xml:space="preserve">
    ACWP_t1 = S_curve_t1
    BCWP_t1 = some portion of ACWP_t1
</t>
    </r>
    <r>
      <rPr>
        <sz val="11"/>
        <color theme="1"/>
        <rFont val="Cascadia Code"/>
        <family val="3"/>
      </rPr>
      <t xml:space="preserve">
and then we would estimate for the next ACWPs according to the ration of BCWP/ACWP, meaning:
</t>
    </r>
    <r>
      <rPr>
        <sz val="11"/>
        <color theme="1"/>
        <rFont val="Cascadia Code SemiBold"/>
        <family val="3"/>
      </rPr>
      <t xml:space="preserve">    ACWP_t2 = [(S_curve_t2 + S_curve_t1) - (BCWP_t1)]/ </t>
    </r>
    <r>
      <rPr>
        <sz val="11"/>
        <color rgb="FFFFC000"/>
        <rFont val="Cascadia Code SemiBold"/>
        <family val="3"/>
      </rPr>
      <t xml:space="preserve">(BCWP_t1/ACWP_t1)
</t>
    </r>
    <r>
      <rPr>
        <sz val="11"/>
        <color theme="1"/>
        <rFont val="Cascadia Code"/>
        <family val="3"/>
      </rPr>
      <t xml:space="preserve">
so we approximate the required budget for each timestep by adjusting this ratio of remained plan.
 * and then at each timestep we evaluate the expected gains using NPV methods for received payments and the required budgets.
--------------
For true learning under uncertainty, we simulate uncertainty and compute the optimal solution using convex optimization, yet the agent is unaware of the future outcomes of it's allocation action. 
In the benchmark we will calculate the budgeting requirements for each project at each timestep using random earned value to actual allocation ratios. These ratios are prevenerated and earned value for each allocation amount is determined. Then using optimization methods we calculate the optimal allocation for each timestep. 
In other words we calculate the optimal allocation portion of each timestep's budgeting requirement to maximize the gains of portfolio over the timespan of the portfolio. 
The agent unaware of the future, unaware of the earned value with respect to the actual allocated budget at that timestep will learn to maximize the gains only by having the history of previous allocations and the original contractual information. 
At the end of the training the gains and quality of agent's action's in each scenario will be compared with the benchmark. (Such as Mean stats for the Last 100 episodes.)</t>
    </r>
  </si>
  <si>
    <t>NO less than previous earned value on dedicated budget with 10% added safty</t>
  </si>
  <si>
    <r>
      <t xml:space="preserve">Prove that considering drawbacks and benifits of both sides and use weights for them to prove the agent is as good as the benchmark, which is knowing the future. 
It's almost as good as the future. 
* implementing convex optimization on allocation decisions over the portfolio timespan. knowing the future values and solving for optimal solution gives the ultimate benchmark to evaluate the agent's policy.
* for evaluating the agent's policy we have to consider all the positive concervativeness of not knowing the future and increase the weghts of it's parameter in scoring it relative to the optimal solution.
</t>
    </r>
    <r>
      <rPr>
        <b/>
        <sz val="14"/>
        <color rgb="FF0070C0"/>
        <rFont val="Times New Roman"/>
        <family val="1"/>
      </rPr>
      <t>* the agent must establish obvious patterns of learning and then at the last 100 episodes we must evaluate it's response with the benchmark for those episodes and report the conclusion as a mean of the final states.</t>
    </r>
    <r>
      <rPr>
        <b/>
        <sz val="14"/>
        <color theme="1"/>
        <rFont val="Times New Roman"/>
        <family val="1"/>
      </rPr>
      <t xml:space="preserve">
----
</t>
    </r>
    <r>
      <rPr>
        <b/>
        <sz val="14"/>
        <color rgb="FF00B050"/>
        <rFont val="Times New Roman"/>
        <family val="1"/>
      </rPr>
      <t xml:space="preserve">Use the data from the previous year of S&amp;P500 for one implementation of uncertainty for payments as the market value is the best indicator of the major status of a company. also it's a relatively good data set.
</t>
    </r>
    <r>
      <rPr>
        <b/>
        <sz val="14"/>
        <color theme="1"/>
        <rFont val="Times New Roman"/>
        <family val="1"/>
      </rPr>
      <t>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</si>
</sst>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1"/>
      <color theme="1"/>
      <name val="Cascadia Code"/>
      <family val="3"/>
    </font>
    <font>
      <sz val="11"/>
      <color theme="1"/>
      <name val="Cascadia Code SemiBold"/>
      <family val="3"/>
    </font>
    <font>
      <sz val="11"/>
      <color rgb="FFFFC000"/>
      <name val="Cascadia Code SemiBold"/>
      <family val="3"/>
    </font>
    <font>
      <b/>
      <sz val="14"/>
      <color theme="1"/>
      <name val="Times New Roman"/>
      <family val="1"/>
    </font>
    <font>
      <b/>
      <sz val="14"/>
      <color rgb="FF00B050"/>
      <name val="Times New Roman"/>
      <family val="1"/>
    </font>
    <font>
      <b/>
      <sz val="14"/>
      <color rgb="FF0070C0"/>
      <name val="Times New Roman"/>
      <family val="1"/>
    </font>
  </fonts>
  <fills count="11">
    <fill>
      <patternFill patternType="none"/>
    </fill>
    <fill>
      <patternFill patternType="gray125"/>
    </fill>
    <fill>
      <patternFill patternType="solid">
        <fgColor theme="4" tint="0.59999389629810485"/>
        <bgColor indexed="64"/>
      </patternFill>
    </fill>
    <fill>
      <patternFill patternType="solid">
        <fgColor rgb="FFFFFF99"/>
        <bgColor indexed="64"/>
      </patternFill>
    </fill>
    <fill>
      <patternFill patternType="solid">
        <fgColor rgb="FFFFCC00"/>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00B050"/>
        <bgColor indexed="64"/>
      </patternFill>
    </fill>
  </fills>
  <borders count="12">
    <border>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7" borderId="4" xfId="0" applyFill="1" applyBorder="1" applyAlignment="1">
      <alignment wrapText="1"/>
    </xf>
    <xf numFmtId="0" fontId="0" fillId="5" borderId="3" xfId="0" applyFill="1" applyBorder="1" applyAlignment="1">
      <alignment wrapText="1"/>
    </xf>
    <xf numFmtId="0" fontId="0" fillId="5" borderId="4" xfId="0" applyFill="1" applyBorder="1" applyAlignment="1">
      <alignment wrapText="1"/>
    </xf>
    <xf numFmtId="0" fontId="0" fillId="6" borderId="3" xfId="0" applyFill="1" applyBorder="1" applyAlignment="1">
      <alignment wrapText="1"/>
    </xf>
    <xf numFmtId="0" fontId="0" fillId="6" borderId="4" xfId="0" applyFill="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3" borderId="0" xfId="0" applyFill="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1" fillId="3" borderId="9" xfId="0" applyFont="1" applyFill="1" applyBorder="1" applyAlignment="1">
      <alignment wrapText="1"/>
    </xf>
    <xf numFmtId="0" fontId="1" fillId="4" borderId="9" xfId="0" applyFont="1" applyFill="1" applyBorder="1" applyAlignment="1">
      <alignment wrapText="1"/>
    </xf>
    <xf numFmtId="0" fontId="1" fillId="2" borderId="10" xfId="0" applyFont="1" applyFill="1" applyBorder="1" applyAlignment="1">
      <alignment wrapText="1"/>
    </xf>
    <xf numFmtId="0" fontId="1" fillId="0" borderId="9" xfId="0" applyFont="1" applyBorder="1" applyAlignment="1">
      <alignment wrapText="1"/>
    </xf>
    <xf numFmtId="0" fontId="1" fillId="4" borderId="10" xfId="0" applyFont="1" applyFill="1" applyBorder="1" applyAlignment="1">
      <alignment wrapText="1"/>
    </xf>
    <xf numFmtId="0" fontId="1" fillId="4" borderId="11" xfId="0" applyFont="1" applyFill="1" applyBorder="1" applyAlignment="1">
      <alignment wrapText="1"/>
    </xf>
    <xf numFmtId="0" fontId="0" fillId="8" borderId="0" xfId="0" applyFill="1" applyAlignment="1">
      <alignment wrapText="1"/>
    </xf>
    <xf numFmtId="0" fontId="0" fillId="9" borderId="7" xfId="0" applyFill="1" applyBorder="1" applyAlignment="1">
      <alignment wrapText="1"/>
    </xf>
    <xf numFmtId="0" fontId="0" fillId="9" borderId="0" xfId="0" applyFill="1" applyAlignment="1">
      <alignment wrapText="1"/>
    </xf>
    <xf numFmtId="0" fontId="0" fillId="10" borderId="9" xfId="0" applyFill="1" applyBorder="1" applyAlignment="1">
      <alignment wrapText="1"/>
    </xf>
    <xf numFmtId="0" fontId="4" fillId="0" borderId="0" xfId="0" applyFont="1" applyAlignment="1">
      <alignment horizontal="left" vertical="top" wrapText="1" indent="3"/>
    </xf>
    <xf numFmtId="0" fontId="7" fillId="3" borderId="0" xfId="0" applyFont="1" applyFill="1" applyAlignment="1">
      <alignment horizontal="left" vertical="top" wrapText="1"/>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99"/>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4094B-70E7-4DCF-925E-82D0381245B1}">
  <dimension ref="B6:U85"/>
  <sheetViews>
    <sheetView tabSelected="1" zoomScale="63" workbookViewId="0">
      <selection activeCell="C27" sqref="C27:S63"/>
    </sheetView>
  </sheetViews>
  <sheetFormatPr defaultRowHeight="14.4" x14ac:dyDescent="0.3"/>
  <cols>
    <col min="1" max="1" width="8.88671875" style="1"/>
    <col min="2" max="2" width="3" style="1" bestFit="1" customWidth="1"/>
    <col min="3" max="3" width="12.77734375" style="1" customWidth="1"/>
    <col min="4" max="4" width="9.5546875" style="1" customWidth="1"/>
    <col min="5" max="5" width="11.77734375" style="1" bestFit="1" customWidth="1"/>
    <col min="6" max="6" width="8.88671875" style="1"/>
    <col min="7" max="7" width="21" style="1" customWidth="1"/>
    <col min="8" max="9" width="11.77734375" style="1" bestFit="1" customWidth="1"/>
    <col min="10" max="10" width="11.5546875" style="1" customWidth="1"/>
    <col min="11" max="11" width="4.77734375" style="1" bestFit="1" customWidth="1"/>
    <col min="12" max="13" width="11.77734375" style="1" bestFit="1" customWidth="1"/>
    <col min="14" max="14" width="11.5546875" style="1" customWidth="1"/>
    <col min="15" max="15" width="11.77734375" style="1" bestFit="1" customWidth="1"/>
    <col min="16" max="17" width="12.44140625" style="1" bestFit="1" customWidth="1"/>
    <col min="18" max="18" width="11.5546875" style="1" customWidth="1"/>
    <col min="19" max="20" width="11.77734375" style="1" bestFit="1" customWidth="1"/>
    <col min="22" max="24" width="12.21875" style="1" bestFit="1" customWidth="1"/>
    <col min="25" max="16384" width="8.88671875" style="1"/>
  </cols>
  <sheetData>
    <row r="6" spans="2:21" ht="14.4" customHeight="1" x14ac:dyDescent="0.3"/>
    <row r="8" spans="2:21" ht="58.2" thickBot="1" x14ac:dyDescent="0.35">
      <c r="G8" s="1" t="s">
        <v>16</v>
      </c>
      <c r="U8" s="1"/>
    </row>
    <row r="9" spans="2:21" x14ac:dyDescent="0.3">
      <c r="B9" s="3"/>
      <c r="C9" s="4"/>
      <c r="D9" s="4"/>
      <c r="E9" s="5" t="s">
        <v>12</v>
      </c>
      <c r="F9" s="4"/>
      <c r="G9" s="4"/>
      <c r="H9" s="6"/>
      <c r="I9" s="7"/>
      <c r="J9" s="4"/>
      <c r="K9" s="4"/>
      <c r="L9" s="8"/>
      <c r="M9" s="9"/>
      <c r="N9" s="4"/>
      <c r="O9" s="4"/>
      <c r="P9" s="4"/>
      <c r="Q9" s="10"/>
      <c r="R9" s="4"/>
      <c r="S9" s="4"/>
      <c r="T9" s="11"/>
      <c r="U9" s="1"/>
    </row>
    <row r="10" spans="2:21" ht="29.4" thickBot="1" x14ac:dyDescent="0.35">
      <c r="B10" s="15"/>
      <c r="C10" s="19" t="s">
        <v>1</v>
      </c>
      <c r="D10" s="20" t="s">
        <v>4</v>
      </c>
      <c r="E10" s="21" t="s">
        <v>11</v>
      </c>
      <c r="F10" s="22"/>
      <c r="G10" s="22" t="s">
        <v>14</v>
      </c>
      <c r="H10" s="19" t="s">
        <v>2</v>
      </c>
      <c r="I10" s="23" t="s">
        <v>3</v>
      </c>
      <c r="J10" s="22"/>
      <c r="K10" s="22" t="s">
        <v>13</v>
      </c>
      <c r="L10" s="19" t="s">
        <v>6</v>
      </c>
      <c r="M10" s="23" t="s">
        <v>7</v>
      </c>
      <c r="N10" s="22"/>
      <c r="O10" s="20" t="s">
        <v>5</v>
      </c>
      <c r="P10" s="19" t="s">
        <v>0</v>
      </c>
      <c r="Q10" s="23" t="s">
        <v>10</v>
      </c>
      <c r="R10" s="22"/>
      <c r="S10" s="20" t="s">
        <v>8</v>
      </c>
      <c r="T10" s="24" t="s">
        <v>9</v>
      </c>
      <c r="U10" s="1"/>
    </row>
    <row r="11" spans="2:21" x14ac:dyDescent="0.3">
      <c r="B11" s="12">
        <v>0</v>
      </c>
      <c r="C11" s="1">
        <v>0</v>
      </c>
      <c r="D11" s="1">
        <v>0</v>
      </c>
      <c r="E11" s="2">
        <v>0</v>
      </c>
      <c r="H11" s="13">
        <v>0</v>
      </c>
      <c r="I11" s="2">
        <v>0</v>
      </c>
      <c r="L11" s="1">
        <v>0</v>
      </c>
      <c r="M11" s="2">
        <v>0</v>
      </c>
      <c r="O11" s="1">
        <v>0</v>
      </c>
      <c r="P11" s="1">
        <v>0</v>
      </c>
      <c r="Q11" s="2">
        <v>0</v>
      </c>
      <c r="S11" s="1">
        <v>0</v>
      </c>
      <c r="T11" s="14">
        <v>0</v>
      </c>
      <c r="U11" s="1"/>
    </row>
    <row r="12" spans="2:21" x14ac:dyDescent="0.3">
      <c r="B12" s="12">
        <v>1</v>
      </c>
      <c r="C12" s="1">
        <v>4.7619047619047616E-2</v>
      </c>
      <c r="D12" s="1">
        <f>C12</f>
        <v>4.7619047619047616E-2</v>
      </c>
      <c r="E12" s="2">
        <f>D12-M11</f>
        <v>4.7619047619047616E-2</v>
      </c>
      <c r="G12" s="25">
        <v>1</v>
      </c>
      <c r="H12" s="13">
        <f>E12/G12</f>
        <v>4.7619047619047616E-2</v>
      </c>
      <c r="I12" s="2">
        <f>H12</f>
        <v>4.7619047619047616E-2</v>
      </c>
      <c r="K12" s="1">
        <f t="shared" ref="K12:K23" ca="1" si="0">(RANDBETWEEN(80,100)/100)</f>
        <v>0.82</v>
      </c>
      <c r="L12" s="1">
        <f ca="1">K12*H12</f>
        <v>3.9047619047619046E-2</v>
      </c>
      <c r="M12" s="2">
        <f ca="1">M11+L12</f>
        <v>3.9047619047619046E-2</v>
      </c>
      <c r="O12" s="1">
        <f>I12-D12</f>
        <v>0</v>
      </c>
      <c r="P12" s="1">
        <f ca="1">C12-L12</f>
        <v>8.5714285714285701E-3</v>
      </c>
      <c r="Q12" s="2">
        <f ca="1">D12-M12</f>
        <v>8.5714285714285701E-3</v>
      </c>
      <c r="S12" s="27">
        <f ca="1">M12/D12</f>
        <v>0.82000000000000006</v>
      </c>
      <c r="T12" s="26">
        <f ca="1">M12/I12</f>
        <v>0.82000000000000006</v>
      </c>
      <c r="U12" s="1"/>
    </row>
    <row r="13" spans="2:21" x14ac:dyDescent="0.3">
      <c r="B13" s="12">
        <v>2</v>
      </c>
      <c r="C13" s="1">
        <v>4.7619047619047616E-2</v>
      </c>
      <c r="D13" s="1">
        <f>D12+C13</f>
        <v>9.5238095238095233E-2</v>
      </c>
      <c r="E13" s="2">
        <f ca="1">D13-M12</f>
        <v>5.6190476190476187E-2</v>
      </c>
      <c r="G13" s="1">
        <f ca="1">MIN($K$12:K13)-0.1</f>
        <v>0.72</v>
      </c>
      <c r="H13" s="13">
        <f ca="1">E13/G13</f>
        <v>7.8042328042328038E-2</v>
      </c>
      <c r="I13" s="2">
        <f ca="1">I12+H13</f>
        <v>0.12566137566137564</v>
      </c>
      <c r="K13" s="1">
        <f t="shared" ca="1" si="0"/>
        <v>0.99</v>
      </c>
      <c r="L13" s="1">
        <f t="shared" ref="L13" ca="1" si="1">K13*H13</f>
        <v>7.7261904761904754E-2</v>
      </c>
      <c r="M13" s="2">
        <f ca="1">M12+L13</f>
        <v>0.11630952380952381</v>
      </c>
      <c r="O13" s="1">
        <f ca="1">I13-D13</f>
        <v>3.0423280423280408E-2</v>
      </c>
      <c r="P13" s="1">
        <f ca="1">C13-L13</f>
        <v>-2.9642857142857137E-2</v>
      </c>
      <c r="Q13" s="2">
        <f ca="1">D13-M13</f>
        <v>-2.1071428571428574E-2</v>
      </c>
      <c r="S13" s="27">
        <f ca="1">M13/D13</f>
        <v>1.2212499999999999</v>
      </c>
      <c r="T13" s="26">
        <f ca="1">M13/I13</f>
        <v>0.92557894736842117</v>
      </c>
      <c r="U13" s="1"/>
    </row>
    <row r="14" spans="2:21" x14ac:dyDescent="0.3">
      <c r="B14" s="12">
        <v>3</v>
      </c>
      <c r="C14" s="1">
        <v>4.7619047619047616E-2</v>
      </c>
      <c r="D14" s="1">
        <f t="shared" ref="D14:D22" si="2">D13+C14</f>
        <v>0.14285714285714285</v>
      </c>
      <c r="E14" s="2">
        <f t="shared" ref="E14:E22" ca="1" si="3">D14-M13</f>
        <v>2.6547619047619042E-2</v>
      </c>
      <c r="G14" s="1">
        <f ca="1">MIN($K$12:K14)-0.1</f>
        <v>0.72</v>
      </c>
      <c r="H14" s="13">
        <f t="shared" ref="H14:H22" ca="1" si="4">E14/G14</f>
        <v>3.6871693121693118E-2</v>
      </c>
      <c r="I14" s="2">
        <f t="shared" ref="I14:I23" ca="1" si="5">I13+H14</f>
        <v>0.16253306878306875</v>
      </c>
      <c r="K14" s="1">
        <f t="shared" ca="1" si="0"/>
        <v>0.87</v>
      </c>
      <c r="L14" s="1">
        <f t="shared" ref="L14:L22" ca="1" si="6">K14*H14</f>
        <v>3.2078373015873012E-2</v>
      </c>
      <c r="M14" s="2">
        <f t="shared" ref="M14:M22" ca="1" si="7">M13+L14</f>
        <v>0.14838789682539683</v>
      </c>
      <c r="O14" s="1">
        <f t="shared" ref="O14:O22" ca="1" si="8">I14-D14</f>
        <v>1.9675925925925902E-2</v>
      </c>
      <c r="P14" s="1">
        <f t="shared" ref="P14:P22" ca="1" si="9">C14-L14</f>
        <v>1.5540674603174605E-2</v>
      </c>
      <c r="Q14" s="2">
        <f t="shared" ref="Q14:Q22" ca="1" si="10">D14-M14</f>
        <v>-5.5307539682539764E-3</v>
      </c>
      <c r="S14" s="27">
        <f t="shared" ref="S14:S22" ca="1" si="11">M14/D14</f>
        <v>1.0387152777777779</v>
      </c>
      <c r="T14" s="26">
        <f t="shared" ref="T14:T22" ca="1" si="12">M14/I14</f>
        <v>0.9129704984740592</v>
      </c>
      <c r="U14" s="1"/>
    </row>
    <row r="15" spans="2:21" x14ac:dyDescent="0.3">
      <c r="B15" s="12">
        <v>4</v>
      </c>
      <c r="C15" s="1">
        <v>9.5238095238095233E-2</v>
      </c>
      <c r="D15" s="1">
        <f t="shared" si="2"/>
        <v>0.23809523809523808</v>
      </c>
      <c r="E15" s="2">
        <f t="shared" ca="1" si="3"/>
        <v>8.9707341269841256E-2</v>
      </c>
      <c r="G15" s="1">
        <f ca="1">MIN($K$12:K15)-0.1</f>
        <v>0.72</v>
      </c>
      <c r="H15" s="13">
        <f t="shared" ca="1" si="4"/>
        <v>0.12459352954144619</v>
      </c>
      <c r="I15" s="2">
        <f t="shared" ca="1" si="5"/>
        <v>0.28712659832451493</v>
      </c>
      <c r="K15" s="1">
        <f t="shared" ca="1" si="0"/>
        <v>0.88</v>
      </c>
      <c r="L15" s="1">
        <f t="shared" ca="1" si="6"/>
        <v>0.10964230599647265</v>
      </c>
      <c r="M15" s="2">
        <f t="shared" ca="1" si="7"/>
        <v>0.2580302028218695</v>
      </c>
      <c r="O15" s="1">
        <f t="shared" ca="1" si="8"/>
        <v>4.9031360229276844E-2</v>
      </c>
      <c r="P15" s="1">
        <f t="shared" ca="1" si="9"/>
        <v>-1.4404210758377417E-2</v>
      </c>
      <c r="Q15" s="2">
        <f t="shared" ca="1" si="10"/>
        <v>-1.9934964726631421E-2</v>
      </c>
      <c r="S15" s="27">
        <f t="shared" ca="1" si="11"/>
        <v>1.0837268518518519</v>
      </c>
      <c r="T15" s="26">
        <f t="shared" ca="1" si="12"/>
        <v>0.89866353144420208</v>
      </c>
      <c r="U15" s="1"/>
    </row>
    <row r="16" spans="2:21" x14ac:dyDescent="0.3">
      <c r="B16" s="12">
        <v>5</v>
      </c>
      <c r="C16" s="1">
        <v>9.5238095238095233E-2</v>
      </c>
      <c r="D16" s="1">
        <f t="shared" si="2"/>
        <v>0.33333333333333331</v>
      </c>
      <c r="E16" s="2">
        <f t="shared" ca="1" si="3"/>
        <v>7.5303130511463812E-2</v>
      </c>
      <c r="G16" s="1">
        <f ca="1">MIN($K$12:K16)-0.1</f>
        <v>0.72</v>
      </c>
      <c r="H16" s="13">
        <f t="shared" ca="1" si="4"/>
        <v>0.10458768126592197</v>
      </c>
      <c r="I16" s="2">
        <f t="shared" ca="1" si="5"/>
        <v>0.39171427959043692</v>
      </c>
      <c r="K16" s="1">
        <f t="shared" ca="1" si="0"/>
        <v>0.95</v>
      </c>
      <c r="L16" s="1">
        <f t="shared" ca="1" si="6"/>
        <v>9.9358297202625859E-2</v>
      </c>
      <c r="M16" s="2">
        <f t="shared" ca="1" si="7"/>
        <v>0.35738850002449535</v>
      </c>
      <c r="O16" s="1">
        <f t="shared" ca="1" si="8"/>
        <v>5.8380946257103605E-2</v>
      </c>
      <c r="P16" s="1">
        <f t="shared" ca="1" si="9"/>
        <v>-4.1202019645306259E-3</v>
      </c>
      <c r="Q16" s="2">
        <f t="shared" ca="1" si="10"/>
        <v>-2.4055166691162033E-2</v>
      </c>
      <c r="S16" s="27">
        <f t="shared" ca="1" si="11"/>
        <v>1.0721655000734862</v>
      </c>
      <c r="T16" s="26">
        <f t="shared" ca="1" si="12"/>
        <v>0.91237036443544661</v>
      </c>
      <c r="U16" s="1"/>
    </row>
    <row r="17" spans="2:21" x14ac:dyDescent="0.3">
      <c r="B17" s="12">
        <v>6</v>
      </c>
      <c r="C17" s="1">
        <v>0.14285714285714285</v>
      </c>
      <c r="D17" s="1">
        <f t="shared" si="2"/>
        <v>0.47619047619047616</v>
      </c>
      <c r="E17" s="2">
        <f t="shared" ca="1" si="3"/>
        <v>0.11880197616598082</v>
      </c>
      <c r="G17" s="1">
        <f ca="1">MIN($K$12:K17)-0.1</f>
        <v>0.72</v>
      </c>
      <c r="H17" s="13">
        <f t="shared" ca="1" si="4"/>
        <v>0.16500274467497336</v>
      </c>
      <c r="I17" s="2">
        <f t="shared" ca="1" si="5"/>
        <v>0.55671702426541025</v>
      </c>
      <c r="K17" s="1">
        <f t="shared" ca="1" si="0"/>
        <v>0.86</v>
      </c>
      <c r="L17" s="1">
        <f t="shared" ca="1" si="6"/>
        <v>0.1419023604204771</v>
      </c>
      <c r="M17" s="2">
        <f t="shared" ca="1" si="7"/>
        <v>0.49929086044497245</v>
      </c>
      <c r="O17" s="1">
        <f t="shared" ca="1" si="8"/>
        <v>8.052654807493409E-2</v>
      </c>
      <c r="P17" s="1">
        <f t="shared" ca="1" si="9"/>
        <v>9.5478243666574647E-4</v>
      </c>
      <c r="Q17" s="2">
        <f t="shared" ca="1" si="10"/>
        <v>-2.3100384254496287E-2</v>
      </c>
      <c r="S17" s="27">
        <f t="shared" ca="1" si="11"/>
        <v>1.0485108069344422</v>
      </c>
      <c r="T17" s="26">
        <f t="shared" ca="1" si="12"/>
        <v>0.8968485580332094</v>
      </c>
      <c r="U17" s="1"/>
    </row>
    <row r="18" spans="2:21" x14ac:dyDescent="0.3">
      <c r="B18" s="12">
        <v>7</v>
      </c>
      <c r="C18" s="1">
        <v>0.14285714285714285</v>
      </c>
      <c r="D18" s="1">
        <f t="shared" si="2"/>
        <v>0.61904761904761907</v>
      </c>
      <c r="E18" s="2">
        <f t="shared" ca="1" si="3"/>
        <v>0.11975675860264662</v>
      </c>
      <c r="G18" s="1">
        <f ca="1">MIN($K$12:K18)-0.1</f>
        <v>0.72</v>
      </c>
      <c r="H18" s="13">
        <f t="shared" ca="1" si="4"/>
        <v>0.16632883139256474</v>
      </c>
      <c r="I18" s="2">
        <f t="shared" ca="1" si="5"/>
        <v>0.72304585565797497</v>
      </c>
      <c r="K18" s="1">
        <f t="shared" ca="1" si="0"/>
        <v>0.94</v>
      </c>
      <c r="L18" s="1">
        <f t="shared" ca="1" si="6"/>
        <v>0.15634910150901085</v>
      </c>
      <c r="M18" s="2">
        <f t="shared" ca="1" si="7"/>
        <v>0.65563996195398333</v>
      </c>
      <c r="O18" s="1">
        <f t="shared" ca="1" si="8"/>
        <v>0.1039982366103559</v>
      </c>
      <c r="P18" s="1">
        <f t="shared" ca="1" si="9"/>
        <v>-1.3491958651868002E-2</v>
      </c>
      <c r="Q18" s="2">
        <f t="shared" ca="1" si="10"/>
        <v>-3.6592342906364261E-2</v>
      </c>
      <c r="S18" s="27">
        <f t="shared" ca="1" si="11"/>
        <v>1.0591107077718191</v>
      </c>
      <c r="T18" s="26">
        <f t="shared" ca="1" si="12"/>
        <v>0.90677507771253041</v>
      </c>
      <c r="U18" s="1"/>
    </row>
    <row r="19" spans="2:21" x14ac:dyDescent="0.3">
      <c r="B19" s="12">
        <v>8</v>
      </c>
      <c r="C19" s="1">
        <v>0.14285714285714285</v>
      </c>
      <c r="D19" s="1">
        <f t="shared" si="2"/>
        <v>0.76190476190476186</v>
      </c>
      <c r="E19" s="2">
        <f t="shared" ca="1" si="3"/>
        <v>0.10626479995077853</v>
      </c>
      <c r="G19" s="1">
        <f ca="1">MIN($K$12:K19)-0.1</f>
        <v>0.72</v>
      </c>
      <c r="H19" s="13">
        <f t="shared" ca="1" si="4"/>
        <v>0.14758999993163685</v>
      </c>
      <c r="I19" s="2">
        <f t="shared" ca="1" si="5"/>
        <v>0.87063585558961187</v>
      </c>
      <c r="K19" s="1">
        <f t="shared" ca="1" si="0"/>
        <v>1</v>
      </c>
      <c r="L19" s="1">
        <f t="shared" ca="1" si="6"/>
        <v>0.14758999993163685</v>
      </c>
      <c r="M19" s="2">
        <f t="shared" ca="1" si="7"/>
        <v>0.80322996188562024</v>
      </c>
      <c r="O19" s="1">
        <f t="shared" ca="1" si="8"/>
        <v>0.10873109368485001</v>
      </c>
      <c r="P19" s="1">
        <f t="shared" ca="1" si="9"/>
        <v>-4.7328570744940013E-3</v>
      </c>
      <c r="Q19" s="2">
        <f t="shared" ca="1" si="10"/>
        <v>-4.1325199980858374E-2</v>
      </c>
      <c r="S19" s="27">
        <f t="shared" ca="1" si="11"/>
        <v>1.0542393249748767</v>
      </c>
      <c r="T19" s="26">
        <f t="shared" ca="1" si="12"/>
        <v>0.92257854616113522</v>
      </c>
      <c r="U19" s="1"/>
    </row>
    <row r="20" spans="2:21" x14ac:dyDescent="0.3">
      <c r="B20" s="12">
        <v>9</v>
      </c>
      <c r="C20" s="1">
        <v>9.5238095238095233E-2</v>
      </c>
      <c r="D20" s="1">
        <f t="shared" si="2"/>
        <v>0.8571428571428571</v>
      </c>
      <c r="E20" s="2">
        <f t="shared" ca="1" si="3"/>
        <v>5.3912895257236859E-2</v>
      </c>
      <c r="G20" s="1">
        <f ca="1">MIN($K$12:K20)-0.1</f>
        <v>0.72</v>
      </c>
      <c r="H20" s="13">
        <f t="shared" ca="1" si="4"/>
        <v>7.4879021190606757E-2</v>
      </c>
      <c r="I20" s="2">
        <f t="shared" ca="1" si="5"/>
        <v>0.94551487678021862</v>
      </c>
      <c r="K20" s="1">
        <f t="shared" ca="1" si="0"/>
        <v>0.94</v>
      </c>
      <c r="L20" s="1">
        <f t="shared" ca="1" si="6"/>
        <v>7.0386279919170347E-2</v>
      </c>
      <c r="M20" s="2">
        <f t="shared" ca="1" si="7"/>
        <v>0.87361624180479058</v>
      </c>
      <c r="O20" s="1">
        <f t="shared" ca="1" si="8"/>
        <v>8.8372019637361521E-2</v>
      </c>
      <c r="P20" s="1">
        <f t="shared" ca="1" si="9"/>
        <v>2.4851815318924886E-2</v>
      </c>
      <c r="Q20" s="2">
        <f t="shared" ca="1" si="10"/>
        <v>-1.6473384661933488E-2</v>
      </c>
      <c r="S20" s="27">
        <f t="shared" ca="1" si="11"/>
        <v>1.0192189487722558</v>
      </c>
      <c r="T20" s="26">
        <f t="shared" ca="1" si="12"/>
        <v>0.92395821922943622</v>
      </c>
      <c r="U20" s="1"/>
    </row>
    <row r="21" spans="2:21" x14ac:dyDescent="0.3">
      <c r="B21" s="12">
        <v>10</v>
      </c>
      <c r="C21" s="1">
        <v>4.7619047619047616E-2</v>
      </c>
      <c r="D21" s="1">
        <f t="shared" si="2"/>
        <v>0.90476190476190466</v>
      </c>
      <c r="E21" s="2">
        <f t="shared" ca="1" si="3"/>
        <v>3.1145662957114073E-2</v>
      </c>
      <c r="G21" s="1">
        <f ca="1">MIN($K$12:K21)-0.1</f>
        <v>0.71000000000000008</v>
      </c>
      <c r="H21" s="13">
        <f t="shared" ca="1" si="4"/>
        <v>4.3867130925512775E-2</v>
      </c>
      <c r="I21" s="2">
        <f t="shared" ca="1" si="5"/>
        <v>0.98938200770573137</v>
      </c>
      <c r="K21" s="1">
        <f t="shared" ca="1" si="0"/>
        <v>0.81</v>
      </c>
      <c r="L21" s="1">
        <f t="shared" ca="1" si="6"/>
        <v>3.5532376049665353E-2</v>
      </c>
      <c r="M21" s="2">
        <f t="shared" ca="1" si="7"/>
        <v>0.90914861785445589</v>
      </c>
      <c r="O21" s="1">
        <f t="shared" ca="1" si="8"/>
        <v>8.4620102943826714E-2</v>
      </c>
      <c r="P21" s="1">
        <f t="shared" ca="1" si="9"/>
        <v>1.2086671569382264E-2</v>
      </c>
      <c r="Q21" s="2">
        <f t="shared" ca="1" si="10"/>
        <v>-4.386713092551231E-3</v>
      </c>
      <c r="S21" s="27">
        <f t="shared" ca="1" si="11"/>
        <v>1.0048484723654514</v>
      </c>
      <c r="T21" s="26">
        <f t="shared" ca="1" si="12"/>
        <v>0.91890554990248108</v>
      </c>
      <c r="U21" s="1"/>
    </row>
    <row r="22" spans="2:21" x14ac:dyDescent="0.3">
      <c r="B22" s="12">
        <v>11</v>
      </c>
      <c r="C22" s="1">
        <v>4.7619047619047616E-2</v>
      </c>
      <c r="D22" s="1">
        <f t="shared" si="2"/>
        <v>0.95238095238095233</v>
      </c>
      <c r="E22" s="2">
        <f t="shared" ca="1" si="3"/>
        <v>4.3232334526496441E-2</v>
      </c>
      <c r="G22" s="1">
        <f ca="1">MIN($K$12:K22)-0.1</f>
        <v>0.71000000000000008</v>
      </c>
      <c r="H22" s="13">
        <f t="shared" ca="1" si="4"/>
        <v>6.0890612009149914E-2</v>
      </c>
      <c r="I22" s="2">
        <f t="shared" ca="1" si="5"/>
        <v>1.0502726197148813</v>
      </c>
      <c r="K22" s="1">
        <f t="shared" ca="1" si="0"/>
        <v>0.86</v>
      </c>
      <c r="L22" s="1">
        <f t="shared" ca="1" si="6"/>
        <v>5.2365926327868927E-2</v>
      </c>
      <c r="M22" s="2">
        <f t="shared" ca="1" si="7"/>
        <v>0.96151454418232485</v>
      </c>
      <c r="O22" s="1">
        <f t="shared" ca="1" si="8"/>
        <v>9.7891667333928956E-2</v>
      </c>
      <c r="P22" s="1">
        <f t="shared" ca="1" si="9"/>
        <v>-4.7468787088213102E-3</v>
      </c>
      <c r="Q22" s="2">
        <f t="shared" ca="1" si="10"/>
        <v>-9.1335918013725204E-3</v>
      </c>
      <c r="S22" s="27">
        <f t="shared" ca="1" si="11"/>
        <v>1.0095902713914411</v>
      </c>
      <c r="T22" s="26">
        <f t="shared" ca="1" si="12"/>
        <v>0.91549044137068747</v>
      </c>
      <c r="U22" s="1"/>
    </row>
    <row r="23" spans="2:21" x14ac:dyDescent="0.3">
      <c r="B23" s="12">
        <v>12</v>
      </c>
      <c r="C23" s="1">
        <v>4.7619047619047616E-2</v>
      </c>
      <c r="D23" s="1">
        <f t="shared" ref="D23" si="13">D22+C23</f>
        <v>1</v>
      </c>
      <c r="E23" s="2">
        <f t="shared" ref="E23" ca="1" si="14">D23-M22</f>
        <v>3.8485455817675152E-2</v>
      </c>
      <c r="G23" s="1">
        <f ca="1">MIN($K$12:K23)-0.1</f>
        <v>0.71000000000000008</v>
      </c>
      <c r="H23" s="13">
        <f t="shared" ref="H23" ca="1" si="15">E23/G23</f>
        <v>5.4204867348838233E-2</v>
      </c>
      <c r="I23" s="2">
        <f t="shared" ca="1" si="5"/>
        <v>1.1044774870637195</v>
      </c>
      <c r="K23" s="1">
        <f t="shared" ca="1" si="0"/>
        <v>0.89</v>
      </c>
      <c r="L23" s="1">
        <f t="shared" ref="L23" ca="1" si="16">K23*H23</f>
        <v>4.8242331940466031E-2</v>
      </c>
      <c r="M23" s="2">
        <f t="shared" ref="M23" ca="1" si="17">M22+L23</f>
        <v>1.0097568761227909</v>
      </c>
      <c r="O23" s="1">
        <f t="shared" ref="O23" ca="1" si="18">I23-D23</f>
        <v>0.10447748706371951</v>
      </c>
      <c r="P23" s="1">
        <f t="shared" ref="P23" ca="1" si="19">C23-L23</f>
        <v>-6.2328432141841444E-4</v>
      </c>
      <c r="Q23" s="2">
        <f t="shared" ref="Q23" ca="1" si="20">D23-M23</f>
        <v>-9.7568761227908585E-3</v>
      </c>
      <c r="S23" s="27">
        <f t="shared" ref="S23" ca="1" si="21">M23/D23</f>
        <v>1.0097568761227909</v>
      </c>
      <c r="T23" s="26">
        <f t="shared" ref="T23" ca="1" si="22">M23/I23</f>
        <v>0.91423943715435463</v>
      </c>
      <c r="U23" s="1"/>
    </row>
    <row r="24" spans="2:21" ht="15" thickBot="1" x14ac:dyDescent="0.35">
      <c r="B24" s="15"/>
      <c r="C24" s="16">
        <f>SUM(C11:C23)</f>
        <v>1</v>
      </c>
      <c r="D24" s="16" t="b">
        <f>D23=C24</f>
        <v>1</v>
      </c>
      <c r="E24" s="17"/>
      <c r="F24" s="16"/>
      <c r="G24" s="16"/>
      <c r="H24" s="16">
        <f ca="1">SUM(H11:H23)</f>
        <v>1.1044774870637195</v>
      </c>
      <c r="I24" s="17" t="b">
        <f ca="1">I23=H24</f>
        <v>1</v>
      </c>
      <c r="J24" s="16"/>
      <c r="K24" s="16"/>
      <c r="L24" s="28">
        <f ca="1">SUM(L11:L23)</f>
        <v>1.0097568761227909</v>
      </c>
      <c r="M24" s="17" t="b">
        <f ca="1">M23=L24</f>
        <v>1</v>
      </c>
      <c r="N24" s="16"/>
      <c r="O24" s="16"/>
      <c r="P24" s="16"/>
      <c r="Q24" s="17"/>
      <c r="R24" s="16"/>
      <c r="S24" s="16"/>
      <c r="T24" s="18"/>
    </row>
    <row r="27" spans="2:21" ht="14.4" customHeight="1" x14ac:dyDescent="0.3">
      <c r="C27" s="29" t="s">
        <v>15</v>
      </c>
      <c r="D27" s="29"/>
      <c r="E27" s="29"/>
      <c r="F27" s="29"/>
      <c r="G27" s="29"/>
      <c r="H27" s="29"/>
      <c r="I27" s="29"/>
      <c r="J27" s="29"/>
      <c r="K27" s="29"/>
      <c r="L27" s="29"/>
      <c r="M27" s="29"/>
      <c r="N27" s="29"/>
      <c r="O27" s="29"/>
      <c r="P27" s="29"/>
      <c r="Q27" s="29"/>
      <c r="R27" s="29"/>
      <c r="S27" s="29"/>
    </row>
    <row r="28" spans="2:21" ht="14.4" customHeight="1" x14ac:dyDescent="0.3">
      <c r="C28" s="29"/>
      <c r="D28" s="29"/>
      <c r="E28" s="29"/>
      <c r="F28" s="29"/>
      <c r="G28" s="29"/>
      <c r="H28" s="29"/>
      <c r="I28" s="29"/>
      <c r="J28" s="29"/>
      <c r="K28" s="29"/>
      <c r="L28" s="29"/>
      <c r="M28" s="29"/>
      <c r="N28" s="29"/>
      <c r="O28" s="29"/>
      <c r="P28" s="29"/>
      <c r="Q28" s="29"/>
      <c r="R28" s="29"/>
      <c r="S28" s="29"/>
    </row>
    <row r="29" spans="2:21" ht="14.4" customHeight="1" x14ac:dyDescent="0.3">
      <c r="C29" s="29"/>
      <c r="D29" s="29"/>
      <c r="E29" s="29"/>
      <c r="F29" s="29"/>
      <c r="G29" s="29"/>
      <c r="H29" s="29"/>
      <c r="I29" s="29"/>
      <c r="J29" s="29"/>
      <c r="K29" s="29"/>
      <c r="L29" s="29"/>
      <c r="M29" s="29"/>
      <c r="N29" s="29"/>
      <c r="O29" s="29"/>
      <c r="P29" s="29"/>
      <c r="Q29" s="29"/>
      <c r="R29" s="29"/>
      <c r="S29" s="29"/>
    </row>
    <row r="30" spans="2:21" ht="14.4" customHeight="1" x14ac:dyDescent="0.3">
      <c r="C30" s="29"/>
      <c r="D30" s="29"/>
      <c r="E30" s="29"/>
      <c r="F30" s="29"/>
      <c r="G30" s="29"/>
      <c r="H30" s="29"/>
      <c r="I30" s="29"/>
      <c r="J30" s="29"/>
      <c r="K30" s="29"/>
      <c r="L30" s="29"/>
      <c r="M30" s="29"/>
      <c r="N30" s="29"/>
      <c r="O30" s="29"/>
      <c r="P30" s="29"/>
      <c r="Q30" s="29"/>
      <c r="R30" s="29"/>
      <c r="S30" s="29"/>
    </row>
    <row r="31" spans="2:21" ht="14.4" customHeight="1" x14ac:dyDescent="0.3">
      <c r="C31" s="29"/>
      <c r="D31" s="29"/>
      <c r="E31" s="29"/>
      <c r="F31" s="29"/>
      <c r="G31" s="29"/>
      <c r="H31" s="29"/>
      <c r="I31" s="29"/>
      <c r="J31" s="29"/>
      <c r="K31" s="29"/>
      <c r="L31" s="29"/>
      <c r="M31" s="29"/>
      <c r="N31" s="29"/>
      <c r="O31" s="29"/>
      <c r="P31" s="29"/>
      <c r="Q31" s="29"/>
      <c r="R31" s="29"/>
      <c r="S31" s="29"/>
    </row>
    <row r="32" spans="2:21" ht="14.4" customHeight="1" x14ac:dyDescent="0.3">
      <c r="C32" s="29"/>
      <c r="D32" s="29"/>
      <c r="E32" s="29"/>
      <c r="F32" s="29"/>
      <c r="G32" s="29"/>
      <c r="H32" s="29"/>
      <c r="I32" s="29"/>
      <c r="J32" s="29"/>
      <c r="K32" s="29"/>
      <c r="L32" s="29"/>
      <c r="M32" s="29"/>
      <c r="N32" s="29"/>
      <c r="O32" s="29"/>
      <c r="P32" s="29"/>
      <c r="Q32" s="29"/>
      <c r="R32" s="29"/>
      <c r="S32" s="29"/>
    </row>
    <row r="33" spans="3:19" ht="14.4" customHeight="1" x14ac:dyDescent="0.3">
      <c r="C33" s="29"/>
      <c r="D33" s="29"/>
      <c r="E33" s="29"/>
      <c r="F33" s="29"/>
      <c r="G33" s="29"/>
      <c r="H33" s="29"/>
      <c r="I33" s="29"/>
      <c r="J33" s="29"/>
      <c r="K33" s="29"/>
      <c r="L33" s="29"/>
      <c r="M33" s="29"/>
      <c r="N33" s="29"/>
      <c r="O33" s="29"/>
      <c r="P33" s="29"/>
      <c r="Q33" s="29"/>
      <c r="R33" s="29"/>
      <c r="S33" s="29"/>
    </row>
    <row r="34" spans="3:19" ht="14.4" customHeight="1" x14ac:dyDescent="0.3">
      <c r="C34" s="29"/>
      <c r="D34" s="29"/>
      <c r="E34" s="29"/>
      <c r="F34" s="29"/>
      <c r="G34" s="29"/>
      <c r="H34" s="29"/>
      <c r="I34" s="29"/>
      <c r="J34" s="29"/>
      <c r="K34" s="29"/>
      <c r="L34" s="29"/>
      <c r="M34" s="29"/>
      <c r="N34" s="29"/>
      <c r="O34" s="29"/>
      <c r="P34" s="29"/>
      <c r="Q34" s="29"/>
      <c r="R34" s="29"/>
      <c r="S34" s="29"/>
    </row>
    <row r="35" spans="3:19" ht="14.4" customHeight="1" x14ac:dyDescent="0.3">
      <c r="C35" s="29"/>
      <c r="D35" s="29"/>
      <c r="E35" s="29"/>
      <c r="F35" s="29"/>
      <c r="G35" s="29"/>
      <c r="H35" s="29"/>
      <c r="I35" s="29"/>
      <c r="J35" s="29"/>
      <c r="K35" s="29"/>
      <c r="L35" s="29"/>
      <c r="M35" s="29"/>
      <c r="N35" s="29"/>
      <c r="O35" s="29"/>
      <c r="P35" s="29"/>
      <c r="Q35" s="29"/>
      <c r="R35" s="29"/>
      <c r="S35" s="29"/>
    </row>
    <row r="36" spans="3:19" ht="14.4" customHeight="1" x14ac:dyDescent="0.3">
      <c r="C36" s="29"/>
      <c r="D36" s="29"/>
      <c r="E36" s="29"/>
      <c r="F36" s="29"/>
      <c r="G36" s="29"/>
      <c r="H36" s="29"/>
      <c r="I36" s="29"/>
      <c r="J36" s="29"/>
      <c r="K36" s="29"/>
      <c r="L36" s="29"/>
      <c r="M36" s="29"/>
      <c r="N36" s="29"/>
      <c r="O36" s="29"/>
      <c r="P36" s="29"/>
      <c r="Q36" s="29"/>
      <c r="R36" s="29"/>
      <c r="S36" s="29"/>
    </row>
    <row r="37" spans="3:19" ht="14.4" customHeight="1" x14ac:dyDescent="0.3">
      <c r="C37" s="29"/>
      <c r="D37" s="29"/>
      <c r="E37" s="29"/>
      <c r="F37" s="29"/>
      <c r="G37" s="29"/>
      <c r="H37" s="29"/>
      <c r="I37" s="29"/>
      <c r="J37" s="29"/>
      <c r="K37" s="29"/>
      <c r="L37" s="29"/>
      <c r="M37" s="29"/>
      <c r="N37" s="29"/>
      <c r="O37" s="29"/>
      <c r="P37" s="29"/>
      <c r="Q37" s="29"/>
      <c r="R37" s="29"/>
      <c r="S37" s="29"/>
    </row>
    <row r="38" spans="3:19" ht="14.4" customHeight="1" x14ac:dyDescent="0.3">
      <c r="C38" s="29"/>
      <c r="D38" s="29"/>
      <c r="E38" s="29"/>
      <c r="F38" s="29"/>
      <c r="G38" s="29"/>
      <c r="H38" s="29"/>
      <c r="I38" s="29"/>
      <c r="J38" s="29"/>
      <c r="K38" s="29"/>
      <c r="L38" s="29"/>
      <c r="M38" s="29"/>
      <c r="N38" s="29"/>
      <c r="O38" s="29"/>
      <c r="P38" s="29"/>
      <c r="Q38" s="29"/>
      <c r="R38" s="29"/>
      <c r="S38" s="29"/>
    </row>
    <row r="39" spans="3:19" ht="14.4" customHeight="1" x14ac:dyDescent="0.3">
      <c r="C39" s="29"/>
      <c r="D39" s="29"/>
      <c r="E39" s="29"/>
      <c r="F39" s="29"/>
      <c r="G39" s="29"/>
      <c r="H39" s="29"/>
      <c r="I39" s="29"/>
      <c r="J39" s="29"/>
      <c r="K39" s="29"/>
      <c r="L39" s="29"/>
      <c r="M39" s="29"/>
      <c r="N39" s="29"/>
      <c r="O39" s="29"/>
      <c r="P39" s="29"/>
      <c r="Q39" s="29"/>
      <c r="R39" s="29"/>
      <c r="S39" s="29"/>
    </row>
    <row r="40" spans="3:19" ht="14.4" customHeight="1" x14ac:dyDescent="0.3">
      <c r="C40" s="29"/>
      <c r="D40" s="29"/>
      <c r="E40" s="29"/>
      <c r="F40" s="29"/>
      <c r="G40" s="29"/>
      <c r="H40" s="29"/>
      <c r="I40" s="29"/>
      <c r="J40" s="29"/>
      <c r="K40" s="29"/>
      <c r="L40" s="29"/>
      <c r="M40" s="29"/>
      <c r="N40" s="29"/>
      <c r="O40" s="29"/>
      <c r="P40" s="29"/>
      <c r="Q40" s="29"/>
      <c r="R40" s="29"/>
      <c r="S40" s="29"/>
    </row>
    <row r="41" spans="3:19" ht="14.4" customHeight="1" x14ac:dyDescent="0.3">
      <c r="C41" s="29"/>
      <c r="D41" s="29"/>
      <c r="E41" s="29"/>
      <c r="F41" s="29"/>
      <c r="G41" s="29"/>
      <c r="H41" s="29"/>
      <c r="I41" s="29"/>
      <c r="J41" s="29"/>
      <c r="K41" s="29"/>
      <c r="L41" s="29"/>
      <c r="M41" s="29"/>
      <c r="N41" s="29"/>
      <c r="O41" s="29"/>
      <c r="P41" s="29"/>
      <c r="Q41" s="29"/>
      <c r="R41" s="29"/>
      <c r="S41" s="29"/>
    </row>
    <row r="42" spans="3:19" ht="14.4" customHeight="1" x14ac:dyDescent="0.3">
      <c r="C42" s="29"/>
      <c r="D42" s="29"/>
      <c r="E42" s="29"/>
      <c r="F42" s="29"/>
      <c r="G42" s="29"/>
      <c r="H42" s="29"/>
      <c r="I42" s="29"/>
      <c r="J42" s="29"/>
      <c r="K42" s="29"/>
      <c r="L42" s="29"/>
      <c r="M42" s="29"/>
      <c r="N42" s="29"/>
      <c r="O42" s="29"/>
      <c r="P42" s="29"/>
      <c r="Q42" s="29"/>
      <c r="R42" s="29"/>
      <c r="S42" s="29"/>
    </row>
    <row r="43" spans="3:19" ht="14.4" customHeight="1" x14ac:dyDescent="0.3">
      <c r="C43" s="29"/>
      <c r="D43" s="29"/>
      <c r="E43" s="29"/>
      <c r="F43" s="29"/>
      <c r="G43" s="29"/>
      <c r="H43" s="29"/>
      <c r="I43" s="29"/>
      <c r="J43" s="29"/>
      <c r="K43" s="29"/>
      <c r="L43" s="29"/>
      <c r="M43" s="29"/>
      <c r="N43" s="29"/>
      <c r="O43" s="29"/>
      <c r="P43" s="29"/>
      <c r="Q43" s="29"/>
      <c r="R43" s="29"/>
      <c r="S43" s="29"/>
    </row>
    <row r="44" spans="3:19" ht="14.4" customHeight="1" x14ac:dyDescent="0.3">
      <c r="C44" s="29"/>
      <c r="D44" s="29"/>
      <c r="E44" s="29"/>
      <c r="F44" s="29"/>
      <c r="G44" s="29"/>
      <c r="H44" s="29"/>
      <c r="I44" s="29"/>
      <c r="J44" s="29"/>
      <c r="K44" s="29"/>
      <c r="L44" s="29"/>
      <c r="M44" s="29"/>
      <c r="N44" s="29"/>
      <c r="O44" s="29"/>
      <c r="P44" s="29"/>
      <c r="Q44" s="29"/>
      <c r="R44" s="29"/>
      <c r="S44" s="29"/>
    </row>
    <row r="45" spans="3:19" ht="14.4" customHeight="1" x14ac:dyDescent="0.3">
      <c r="C45" s="29"/>
      <c r="D45" s="29"/>
      <c r="E45" s="29"/>
      <c r="F45" s="29"/>
      <c r="G45" s="29"/>
      <c r="H45" s="29"/>
      <c r="I45" s="29"/>
      <c r="J45" s="29"/>
      <c r="K45" s="29"/>
      <c r="L45" s="29"/>
      <c r="M45" s="29"/>
      <c r="N45" s="29"/>
      <c r="O45" s="29"/>
      <c r="P45" s="29"/>
      <c r="Q45" s="29"/>
      <c r="R45" s="29"/>
      <c r="S45" s="29"/>
    </row>
    <row r="46" spans="3:19" ht="14.4" customHeight="1" x14ac:dyDescent="0.3">
      <c r="C46" s="29"/>
      <c r="D46" s="29"/>
      <c r="E46" s="29"/>
      <c r="F46" s="29"/>
      <c r="G46" s="29"/>
      <c r="H46" s="29"/>
      <c r="I46" s="29"/>
      <c r="J46" s="29"/>
      <c r="K46" s="29"/>
      <c r="L46" s="29"/>
      <c r="M46" s="29"/>
      <c r="N46" s="29"/>
      <c r="O46" s="29"/>
      <c r="P46" s="29"/>
      <c r="Q46" s="29"/>
      <c r="R46" s="29"/>
      <c r="S46" s="29"/>
    </row>
    <row r="47" spans="3:19" ht="14.4" customHeight="1" x14ac:dyDescent="0.3">
      <c r="C47" s="29"/>
      <c r="D47" s="29"/>
      <c r="E47" s="29"/>
      <c r="F47" s="29"/>
      <c r="G47" s="29"/>
      <c r="H47" s="29"/>
      <c r="I47" s="29"/>
      <c r="J47" s="29"/>
      <c r="K47" s="29"/>
      <c r="L47" s="29"/>
      <c r="M47" s="29"/>
      <c r="N47" s="29"/>
      <c r="O47" s="29"/>
      <c r="P47" s="29"/>
      <c r="Q47" s="29"/>
      <c r="R47" s="29"/>
      <c r="S47" s="29"/>
    </row>
    <row r="48" spans="3:19" ht="14.4" customHeight="1" x14ac:dyDescent="0.3">
      <c r="C48" s="29"/>
      <c r="D48" s="29"/>
      <c r="E48" s="29"/>
      <c r="F48" s="29"/>
      <c r="G48" s="29"/>
      <c r="H48" s="29"/>
      <c r="I48" s="29"/>
      <c r="J48" s="29"/>
      <c r="K48" s="29"/>
      <c r="L48" s="29"/>
      <c r="M48" s="29"/>
      <c r="N48" s="29"/>
      <c r="O48" s="29"/>
      <c r="P48" s="29"/>
      <c r="Q48" s="29"/>
      <c r="R48" s="29"/>
      <c r="S48" s="29"/>
    </row>
    <row r="49" spans="3:19" ht="14.4" customHeight="1" x14ac:dyDescent="0.3">
      <c r="C49" s="29"/>
      <c r="D49" s="29"/>
      <c r="E49" s="29"/>
      <c r="F49" s="29"/>
      <c r="G49" s="29"/>
      <c r="H49" s="29"/>
      <c r="I49" s="29"/>
      <c r="J49" s="29"/>
      <c r="K49" s="29"/>
      <c r="L49" s="29"/>
      <c r="M49" s="29"/>
      <c r="N49" s="29"/>
      <c r="O49" s="29"/>
      <c r="P49" s="29"/>
      <c r="Q49" s="29"/>
      <c r="R49" s="29"/>
      <c r="S49" s="29"/>
    </row>
    <row r="50" spans="3:19" ht="14.4" customHeight="1" x14ac:dyDescent="0.3">
      <c r="C50" s="29"/>
      <c r="D50" s="29"/>
      <c r="E50" s="29"/>
      <c r="F50" s="29"/>
      <c r="G50" s="29"/>
      <c r="H50" s="29"/>
      <c r="I50" s="29"/>
      <c r="J50" s="29"/>
      <c r="K50" s="29"/>
      <c r="L50" s="29"/>
      <c r="M50" s="29"/>
      <c r="N50" s="29"/>
      <c r="O50" s="29"/>
      <c r="P50" s="29"/>
      <c r="Q50" s="29"/>
      <c r="R50" s="29"/>
      <c r="S50" s="29"/>
    </row>
    <row r="51" spans="3:19" ht="14.4" customHeight="1" x14ac:dyDescent="0.3">
      <c r="C51" s="29"/>
      <c r="D51" s="29"/>
      <c r="E51" s="29"/>
      <c r="F51" s="29"/>
      <c r="G51" s="29"/>
      <c r="H51" s="29"/>
      <c r="I51" s="29"/>
      <c r="J51" s="29"/>
      <c r="K51" s="29"/>
      <c r="L51" s="29"/>
      <c r="M51" s="29"/>
      <c r="N51" s="29"/>
      <c r="O51" s="29"/>
      <c r="P51" s="29"/>
      <c r="Q51" s="29"/>
      <c r="R51" s="29"/>
      <c r="S51" s="29"/>
    </row>
    <row r="52" spans="3:19" ht="14.4" customHeight="1" x14ac:dyDescent="0.3">
      <c r="C52" s="29"/>
      <c r="D52" s="29"/>
      <c r="E52" s="29"/>
      <c r="F52" s="29"/>
      <c r="G52" s="29"/>
      <c r="H52" s="29"/>
      <c r="I52" s="29"/>
      <c r="J52" s="29"/>
      <c r="K52" s="29"/>
      <c r="L52" s="29"/>
      <c r="M52" s="29"/>
      <c r="N52" s="29"/>
      <c r="O52" s="29"/>
      <c r="P52" s="29"/>
      <c r="Q52" s="29"/>
      <c r="R52" s="29"/>
      <c r="S52" s="29"/>
    </row>
    <row r="53" spans="3:19" x14ac:dyDescent="0.3">
      <c r="C53" s="29"/>
      <c r="D53" s="29"/>
      <c r="E53" s="29"/>
      <c r="F53" s="29"/>
      <c r="G53" s="29"/>
      <c r="H53" s="29"/>
      <c r="I53" s="29"/>
      <c r="J53" s="29"/>
      <c r="K53" s="29"/>
      <c r="L53" s="29"/>
      <c r="M53" s="29"/>
      <c r="N53" s="29"/>
      <c r="O53" s="29"/>
      <c r="P53" s="29"/>
      <c r="Q53" s="29"/>
      <c r="R53" s="29"/>
      <c r="S53" s="29"/>
    </row>
    <row r="54" spans="3:19" x14ac:dyDescent="0.3">
      <c r="C54" s="29"/>
      <c r="D54" s="29"/>
      <c r="E54" s="29"/>
      <c r="F54" s="29"/>
      <c r="G54" s="29"/>
      <c r="H54" s="29"/>
      <c r="I54" s="29"/>
      <c r="J54" s="29"/>
      <c r="K54" s="29"/>
      <c r="L54" s="29"/>
      <c r="M54" s="29"/>
      <c r="N54" s="29"/>
      <c r="O54" s="29"/>
      <c r="P54" s="29"/>
      <c r="Q54" s="29"/>
      <c r="R54" s="29"/>
      <c r="S54" s="29"/>
    </row>
    <row r="55" spans="3:19" x14ac:dyDescent="0.3">
      <c r="C55" s="29"/>
      <c r="D55" s="29"/>
      <c r="E55" s="29"/>
      <c r="F55" s="29"/>
      <c r="G55" s="29"/>
      <c r="H55" s="29"/>
      <c r="I55" s="29"/>
      <c r="J55" s="29"/>
      <c r="K55" s="29"/>
      <c r="L55" s="29"/>
      <c r="M55" s="29"/>
      <c r="N55" s="29"/>
      <c r="O55" s="29"/>
      <c r="P55" s="29"/>
      <c r="Q55" s="29"/>
      <c r="R55" s="29"/>
      <c r="S55" s="29"/>
    </row>
    <row r="56" spans="3:19" x14ac:dyDescent="0.3">
      <c r="C56" s="29"/>
      <c r="D56" s="29"/>
      <c r="E56" s="29"/>
      <c r="F56" s="29"/>
      <c r="G56" s="29"/>
      <c r="H56" s="29"/>
      <c r="I56" s="29"/>
      <c r="J56" s="29"/>
      <c r="K56" s="29"/>
      <c r="L56" s="29"/>
      <c r="M56" s="29"/>
      <c r="N56" s="29"/>
      <c r="O56" s="29"/>
      <c r="P56" s="29"/>
      <c r="Q56" s="29"/>
      <c r="R56" s="29"/>
      <c r="S56" s="29"/>
    </row>
    <row r="57" spans="3:19" x14ac:dyDescent="0.3">
      <c r="C57" s="29"/>
      <c r="D57" s="29"/>
      <c r="E57" s="29"/>
      <c r="F57" s="29"/>
      <c r="G57" s="29"/>
      <c r="H57" s="29"/>
      <c r="I57" s="29"/>
      <c r="J57" s="29"/>
      <c r="K57" s="29"/>
      <c r="L57" s="29"/>
      <c r="M57" s="29"/>
      <c r="N57" s="29"/>
      <c r="O57" s="29"/>
      <c r="P57" s="29"/>
      <c r="Q57" s="29"/>
      <c r="R57" s="29"/>
      <c r="S57" s="29"/>
    </row>
    <row r="58" spans="3:19" x14ac:dyDescent="0.3">
      <c r="C58" s="29"/>
      <c r="D58" s="29"/>
      <c r="E58" s="29"/>
      <c r="F58" s="29"/>
      <c r="G58" s="29"/>
      <c r="H58" s="29"/>
      <c r="I58" s="29"/>
      <c r="J58" s="29"/>
      <c r="K58" s="29"/>
      <c r="L58" s="29"/>
      <c r="M58" s="29"/>
      <c r="N58" s="29"/>
      <c r="O58" s="29"/>
      <c r="P58" s="29"/>
      <c r="Q58" s="29"/>
      <c r="R58" s="29"/>
      <c r="S58" s="29"/>
    </row>
    <row r="59" spans="3:19" x14ac:dyDescent="0.3">
      <c r="C59" s="29"/>
      <c r="D59" s="29"/>
      <c r="E59" s="29"/>
      <c r="F59" s="29"/>
      <c r="G59" s="29"/>
      <c r="H59" s="29"/>
      <c r="I59" s="29"/>
      <c r="J59" s="29"/>
      <c r="K59" s="29"/>
      <c r="L59" s="29"/>
      <c r="M59" s="29"/>
      <c r="N59" s="29"/>
      <c r="O59" s="29"/>
      <c r="P59" s="29"/>
      <c r="Q59" s="29"/>
      <c r="R59" s="29"/>
      <c r="S59" s="29"/>
    </row>
    <row r="60" spans="3:19" x14ac:dyDescent="0.3">
      <c r="C60" s="29"/>
      <c r="D60" s="29"/>
      <c r="E60" s="29"/>
      <c r="F60" s="29"/>
      <c r="G60" s="29"/>
      <c r="H60" s="29"/>
      <c r="I60" s="29"/>
      <c r="J60" s="29"/>
      <c r="K60" s="29"/>
      <c r="L60" s="29"/>
      <c r="M60" s="29"/>
      <c r="N60" s="29"/>
      <c r="O60" s="29"/>
      <c r="P60" s="29"/>
      <c r="Q60" s="29"/>
      <c r="R60" s="29"/>
      <c r="S60" s="29"/>
    </row>
    <row r="61" spans="3:19" x14ac:dyDescent="0.3">
      <c r="C61" s="29"/>
      <c r="D61" s="29"/>
      <c r="E61" s="29"/>
      <c r="F61" s="29"/>
      <c r="G61" s="29"/>
      <c r="H61" s="29"/>
      <c r="I61" s="29"/>
      <c r="J61" s="29"/>
      <c r="K61" s="29"/>
      <c r="L61" s="29"/>
      <c r="M61" s="29"/>
      <c r="N61" s="29"/>
      <c r="O61" s="29"/>
      <c r="P61" s="29"/>
      <c r="Q61" s="29"/>
      <c r="R61" s="29"/>
      <c r="S61" s="29"/>
    </row>
    <row r="62" spans="3:19" x14ac:dyDescent="0.3">
      <c r="C62" s="29"/>
      <c r="D62" s="29"/>
      <c r="E62" s="29"/>
      <c r="F62" s="29"/>
      <c r="G62" s="29"/>
      <c r="H62" s="29"/>
      <c r="I62" s="29"/>
      <c r="J62" s="29"/>
      <c r="K62" s="29"/>
      <c r="L62" s="29"/>
      <c r="M62" s="29"/>
      <c r="N62" s="29"/>
      <c r="O62" s="29"/>
      <c r="P62" s="29"/>
      <c r="Q62" s="29"/>
      <c r="R62" s="29"/>
      <c r="S62" s="29"/>
    </row>
    <row r="63" spans="3:19" x14ac:dyDescent="0.3">
      <c r="C63" s="29"/>
      <c r="D63" s="29"/>
      <c r="E63" s="29"/>
      <c r="F63" s="29"/>
      <c r="G63" s="29"/>
      <c r="H63" s="29"/>
      <c r="I63" s="29"/>
      <c r="J63" s="29"/>
      <c r="K63" s="29"/>
      <c r="L63" s="29"/>
      <c r="M63" s="29"/>
      <c r="N63" s="29"/>
      <c r="O63" s="29"/>
      <c r="P63" s="29"/>
      <c r="Q63" s="29"/>
      <c r="R63" s="29"/>
      <c r="S63" s="29"/>
    </row>
    <row r="66" spans="3:19" x14ac:dyDescent="0.3">
      <c r="C66" s="30" t="s">
        <v>17</v>
      </c>
      <c r="D66" s="30"/>
      <c r="E66" s="30"/>
      <c r="F66" s="30"/>
      <c r="G66" s="30"/>
      <c r="H66" s="30"/>
      <c r="I66" s="30"/>
      <c r="J66" s="30"/>
      <c r="K66" s="30"/>
      <c r="L66" s="30"/>
      <c r="M66" s="30"/>
      <c r="N66" s="30"/>
      <c r="O66" s="30"/>
      <c r="P66" s="30"/>
      <c r="Q66" s="30"/>
      <c r="R66" s="30"/>
      <c r="S66" s="30"/>
    </row>
    <row r="67" spans="3:19" x14ac:dyDescent="0.3">
      <c r="C67" s="30"/>
      <c r="D67" s="30"/>
      <c r="E67" s="30"/>
      <c r="F67" s="30"/>
      <c r="G67" s="30"/>
      <c r="H67" s="30"/>
      <c r="I67" s="30"/>
      <c r="J67" s="30"/>
      <c r="K67" s="30"/>
      <c r="L67" s="30"/>
      <c r="M67" s="30"/>
      <c r="N67" s="30"/>
      <c r="O67" s="30"/>
      <c r="P67" s="30"/>
      <c r="Q67" s="30"/>
      <c r="R67" s="30"/>
      <c r="S67" s="30"/>
    </row>
    <row r="68" spans="3:19" x14ac:dyDescent="0.3">
      <c r="C68" s="30"/>
      <c r="D68" s="30"/>
      <c r="E68" s="30"/>
      <c r="F68" s="30"/>
      <c r="G68" s="30"/>
      <c r="H68" s="30"/>
      <c r="I68" s="30"/>
      <c r="J68" s="30"/>
      <c r="K68" s="30"/>
      <c r="L68" s="30"/>
      <c r="M68" s="30"/>
      <c r="N68" s="30"/>
      <c r="O68" s="30"/>
      <c r="P68" s="30"/>
      <c r="Q68" s="30"/>
      <c r="R68" s="30"/>
      <c r="S68" s="30"/>
    </row>
    <row r="69" spans="3:19" x14ac:dyDescent="0.3">
      <c r="C69" s="30"/>
      <c r="D69" s="30"/>
      <c r="E69" s="30"/>
      <c r="F69" s="30"/>
      <c r="G69" s="30"/>
      <c r="H69" s="30"/>
      <c r="I69" s="30"/>
      <c r="J69" s="30"/>
      <c r="K69" s="30"/>
      <c r="L69" s="30"/>
      <c r="M69" s="30"/>
      <c r="N69" s="30"/>
      <c r="O69" s="30"/>
      <c r="P69" s="30"/>
      <c r="Q69" s="30"/>
      <c r="R69" s="30"/>
      <c r="S69" s="30"/>
    </row>
    <row r="70" spans="3:19" x14ac:dyDescent="0.3">
      <c r="C70" s="30"/>
      <c r="D70" s="30"/>
      <c r="E70" s="30"/>
      <c r="F70" s="30"/>
      <c r="G70" s="30"/>
      <c r="H70" s="30"/>
      <c r="I70" s="30"/>
      <c r="J70" s="30"/>
      <c r="K70" s="30"/>
      <c r="L70" s="30"/>
      <c r="M70" s="30"/>
      <c r="N70" s="30"/>
      <c r="O70" s="30"/>
      <c r="P70" s="30"/>
      <c r="Q70" s="30"/>
      <c r="R70" s="30"/>
      <c r="S70" s="30"/>
    </row>
    <row r="71" spans="3:19" x14ac:dyDescent="0.3">
      <c r="C71" s="30"/>
      <c r="D71" s="30"/>
      <c r="E71" s="30"/>
      <c r="F71" s="30"/>
      <c r="G71" s="30"/>
      <c r="H71" s="30"/>
      <c r="I71" s="30"/>
      <c r="J71" s="30"/>
      <c r="K71" s="30"/>
      <c r="L71" s="30"/>
      <c r="M71" s="30"/>
      <c r="N71" s="30"/>
      <c r="O71" s="30"/>
      <c r="P71" s="30"/>
      <c r="Q71" s="30"/>
      <c r="R71" s="30"/>
      <c r="S71" s="30"/>
    </row>
    <row r="72" spans="3:19" x14ac:dyDescent="0.3">
      <c r="C72" s="30"/>
      <c r="D72" s="30"/>
      <c r="E72" s="30"/>
      <c r="F72" s="30"/>
      <c r="G72" s="30"/>
      <c r="H72" s="30"/>
      <c r="I72" s="30"/>
      <c r="J72" s="30"/>
      <c r="K72" s="30"/>
      <c r="L72" s="30"/>
      <c r="M72" s="30"/>
      <c r="N72" s="30"/>
      <c r="O72" s="30"/>
      <c r="P72" s="30"/>
      <c r="Q72" s="30"/>
      <c r="R72" s="30"/>
      <c r="S72" s="30"/>
    </row>
    <row r="73" spans="3:19" x14ac:dyDescent="0.3">
      <c r="C73" s="30"/>
      <c r="D73" s="30"/>
      <c r="E73" s="30"/>
      <c r="F73" s="30"/>
      <c r="G73" s="30"/>
      <c r="H73" s="30"/>
      <c r="I73" s="30"/>
      <c r="J73" s="30"/>
      <c r="K73" s="30"/>
      <c r="L73" s="30"/>
      <c r="M73" s="30"/>
      <c r="N73" s="30"/>
      <c r="O73" s="30"/>
      <c r="P73" s="30"/>
      <c r="Q73" s="30"/>
      <c r="R73" s="30"/>
      <c r="S73" s="30"/>
    </row>
    <row r="74" spans="3:19" x14ac:dyDescent="0.3">
      <c r="C74" s="30"/>
      <c r="D74" s="30"/>
      <c r="E74" s="30"/>
      <c r="F74" s="30"/>
      <c r="G74" s="30"/>
      <c r="H74" s="30"/>
      <c r="I74" s="30"/>
      <c r="J74" s="30"/>
      <c r="K74" s="30"/>
      <c r="L74" s="30"/>
      <c r="M74" s="30"/>
      <c r="N74" s="30"/>
      <c r="O74" s="30"/>
      <c r="P74" s="30"/>
      <c r="Q74" s="30"/>
      <c r="R74" s="30"/>
      <c r="S74" s="30"/>
    </row>
    <row r="75" spans="3:19" x14ac:dyDescent="0.3">
      <c r="C75" s="30"/>
      <c r="D75" s="30"/>
      <c r="E75" s="30"/>
      <c r="F75" s="30"/>
      <c r="G75" s="30"/>
      <c r="H75" s="30"/>
      <c r="I75" s="30"/>
      <c r="J75" s="30"/>
      <c r="K75" s="30"/>
      <c r="L75" s="30"/>
      <c r="M75" s="30"/>
      <c r="N75" s="30"/>
      <c r="O75" s="30"/>
      <c r="P75" s="30"/>
      <c r="Q75" s="30"/>
      <c r="R75" s="30"/>
      <c r="S75" s="30"/>
    </row>
    <row r="76" spans="3:19" x14ac:dyDescent="0.3">
      <c r="C76" s="30"/>
      <c r="D76" s="30"/>
      <c r="E76" s="30"/>
      <c r="F76" s="30"/>
      <c r="G76" s="30"/>
      <c r="H76" s="30"/>
      <c r="I76" s="30"/>
      <c r="J76" s="30"/>
      <c r="K76" s="30"/>
      <c r="L76" s="30"/>
      <c r="M76" s="30"/>
      <c r="N76" s="30"/>
      <c r="O76" s="30"/>
      <c r="P76" s="30"/>
      <c r="Q76" s="30"/>
      <c r="R76" s="30"/>
      <c r="S76" s="30"/>
    </row>
    <row r="77" spans="3:19" x14ac:dyDescent="0.3">
      <c r="C77" s="30"/>
      <c r="D77" s="30"/>
      <c r="E77" s="30"/>
      <c r="F77" s="30"/>
      <c r="G77" s="30"/>
      <c r="H77" s="30"/>
      <c r="I77" s="30"/>
      <c r="J77" s="30"/>
      <c r="K77" s="30"/>
      <c r="L77" s="30"/>
      <c r="M77" s="30"/>
      <c r="N77" s="30"/>
      <c r="O77" s="30"/>
      <c r="P77" s="30"/>
      <c r="Q77" s="30"/>
      <c r="R77" s="30"/>
      <c r="S77" s="30"/>
    </row>
    <row r="78" spans="3:19" x14ac:dyDescent="0.3">
      <c r="C78" s="30"/>
      <c r="D78" s="30"/>
      <c r="E78" s="30"/>
      <c r="F78" s="30"/>
      <c r="G78" s="30"/>
      <c r="H78" s="30"/>
      <c r="I78" s="30"/>
      <c r="J78" s="30"/>
      <c r="K78" s="30"/>
      <c r="L78" s="30"/>
      <c r="M78" s="30"/>
      <c r="N78" s="30"/>
      <c r="O78" s="30"/>
      <c r="P78" s="30"/>
      <c r="Q78" s="30"/>
      <c r="R78" s="30"/>
      <c r="S78" s="30"/>
    </row>
    <row r="79" spans="3:19" x14ac:dyDescent="0.3">
      <c r="C79" s="30"/>
      <c r="D79" s="30"/>
      <c r="E79" s="30"/>
      <c r="F79" s="30"/>
      <c r="G79" s="30"/>
      <c r="H79" s="30"/>
      <c r="I79" s="30"/>
      <c r="J79" s="30"/>
      <c r="K79" s="30"/>
      <c r="L79" s="30"/>
      <c r="M79" s="30"/>
      <c r="N79" s="30"/>
      <c r="O79" s="30"/>
      <c r="P79" s="30"/>
      <c r="Q79" s="30"/>
      <c r="R79" s="30"/>
      <c r="S79" s="30"/>
    </row>
    <row r="80" spans="3:19" x14ac:dyDescent="0.3">
      <c r="C80" s="30"/>
      <c r="D80" s="30"/>
      <c r="E80" s="30"/>
      <c r="F80" s="30"/>
      <c r="G80" s="30"/>
      <c r="H80" s="30"/>
      <c r="I80" s="30"/>
      <c r="J80" s="30"/>
      <c r="K80" s="30"/>
      <c r="L80" s="30"/>
      <c r="M80" s="30"/>
      <c r="N80" s="30"/>
      <c r="O80" s="30"/>
      <c r="P80" s="30"/>
      <c r="Q80" s="30"/>
      <c r="R80" s="30"/>
      <c r="S80" s="30"/>
    </row>
    <row r="81" spans="3:19" x14ac:dyDescent="0.3">
      <c r="C81" s="30"/>
      <c r="D81" s="30"/>
      <c r="E81" s="30"/>
      <c r="F81" s="30"/>
      <c r="G81" s="30"/>
      <c r="H81" s="30"/>
      <c r="I81" s="30"/>
      <c r="J81" s="30"/>
      <c r="K81" s="30"/>
      <c r="L81" s="30"/>
      <c r="M81" s="30"/>
      <c r="N81" s="30"/>
      <c r="O81" s="30"/>
      <c r="P81" s="30"/>
      <c r="Q81" s="30"/>
      <c r="R81" s="30"/>
      <c r="S81" s="30"/>
    </row>
    <row r="82" spans="3:19" x14ac:dyDescent="0.3">
      <c r="C82" s="30"/>
      <c r="D82" s="30"/>
      <c r="E82" s="30"/>
      <c r="F82" s="30"/>
      <c r="G82" s="30"/>
      <c r="H82" s="30"/>
      <c r="I82" s="30"/>
      <c r="J82" s="30"/>
      <c r="K82" s="30"/>
      <c r="L82" s="30"/>
      <c r="M82" s="30"/>
      <c r="N82" s="30"/>
      <c r="O82" s="30"/>
      <c r="P82" s="30"/>
      <c r="Q82" s="30"/>
      <c r="R82" s="30"/>
      <c r="S82" s="30"/>
    </row>
    <row r="83" spans="3:19" x14ac:dyDescent="0.3">
      <c r="C83" s="30"/>
      <c r="D83" s="30"/>
      <c r="E83" s="30"/>
      <c r="F83" s="30"/>
      <c r="G83" s="30"/>
      <c r="H83" s="30"/>
      <c r="I83" s="30"/>
      <c r="J83" s="30"/>
      <c r="K83" s="30"/>
      <c r="L83" s="30"/>
      <c r="M83" s="30"/>
      <c r="N83" s="30"/>
      <c r="O83" s="30"/>
      <c r="P83" s="30"/>
      <c r="Q83" s="30"/>
      <c r="R83" s="30"/>
      <c r="S83" s="30"/>
    </row>
    <row r="84" spans="3:19" x14ac:dyDescent="0.3">
      <c r="C84" s="30"/>
      <c r="D84" s="30"/>
      <c r="E84" s="30"/>
      <c r="F84" s="30"/>
      <c r="G84" s="30"/>
      <c r="H84" s="30"/>
      <c r="I84" s="30"/>
      <c r="J84" s="30"/>
      <c r="K84" s="30"/>
      <c r="L84" s="30"/>
      <c r="M84" s="30"/>
      <c r="N84" s="30"/>
      <c r="O84" s="30"/>
      <c r="P84" s="30"/>
      <c r="Q84" s="30"/>
      <c r="R84" s="30"/>
      <c r="S84" s="30"/>
    </row>
    <row r="85" spans="3:19" x14ac:dyDescent="0.3">
      <c r="C85" s="30"/>
      <c r="D85" s="30"/>
      <c r="E85" s="30"/>
      <c r="F85" s="30"/>
      <c r="G85" s="30"/>
      <c r="H85" s="30"/>
      <c r="I85" s="30"/>
      <c r="J85" s="30"/>
      <c r="K85" s="30"/>
      <c r="L85" s="30"/>
      <c r="M85" s="30"/>
      <c r="N85" s="30"/>
      <c r="O85" s="30"/>
      <c r="P85" s="30"/>
      <c r="Q85" s="30"/>
      <c r="R85" s="30"/>
      <c r="S85" s="30"/>
    </row>
  </sheetData>
  <mergeCells count="2">
    <mergeCell ref="C27:S63"/>
    <mergeCell ref="C66:S85"/>
  </mergeCells>
  <conditionalFormatting sqref="M12:M23">
    <cfRule type="cellIs" dxfId="1" priority="1" operator="lessThan">
      <formula>$D$12</formula>
    </cfRule>
    <cfRule type="cellIs" dxfId="0" priority="2" operator="greaterThan">
      <formula>$D$12</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Mahriar Gharaghani</dc:creator>
  <cp:lastModifiedBy>Mahriar Gharaghani</cp:lastModifiedBy>
  <dcterms:created xsi:type="dcterms:W3CDTF">2025-12-05T17:19:47Z</dcterms:created>
  <dcterms:modified xsi:type="dcterms:W3CDTF">2025-12-21T14:13:30Z</dcterms:modified>
</cp:coreProperties>
</file>